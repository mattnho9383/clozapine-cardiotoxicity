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duplicated (56)" sheetId="1" state="visible" r:id="rId3"/>
    <sheet name="Selection log" sheetId="2" state="visible" r:id="rId4"/>
    <sheet name="Dropped rows" sheetId="3" state="visible" r:id="rId5"/>
    <sheet name="README" sheetId="4" state="visible" r:id="rId6"/>
  </sheets>
  <definedNames>
    <definedName function="false" hidden="true" localSheetId="0" name="_xlnm._FilterDatabase" vbProcedure="false">'Deduplicated (56)'!$A$1:$Q$57</definedName>
    <definedName function="false" hidden="true" localSheetId="2" name="_xlnm._FilterDatabase" vbProcedure="false">'Dropped rows'!$A$1:$Q$90</definedName>
    <definedName function="false" hidden="true" localSheetId="1" name="_xlnm._FilterDatabase" vbProcedure="false">'Selection log'!$A$1:$H$57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<sst xmlns="http://schemas.openxmlformats.org/spreadsheetml/2006/main" count="1639" uniqueCount="222">
  <si>
    <t xml:space="preserve">ISR</t>
  </si>
  <si>
    <t xml:space="preserve">Date received</t>
  </si>
  <si>
    <t xml:space="preserve">Outcome</t>
  </si>
  <si>
    <t xml:space="preserve">Drug_seq</t>
  </si>
  <si>
    <t xml:space="preserve">Original name</t>
  </si>
  <si>
    <t xml:space="preserve">Pharma product</t>
  </si>
  <si>
    <t xml:space="preserve">Drug name</t>
  </si>
  <si>
    <t xml:space="preserve">Role code</t>
  </si>
  <si>
    <t xml:space="preserve">Route</t>
  </si>
  <si>
    <t xml:space="preserve">Dosis</t>
  </si>
  <si>
    <t xml:space="preserve">Calculated daily dosis</t>
  </si>
  <si>
    <t xml:space="preserve">Indication</t>
  </si>
  <si>
    <t xml:space="preserve">Event</t>
  </si>
  <si>
    <t xml:space="preserve">Case_id</t>
  </si>
  <si>
    <t xml:space="preserve">Gender</t>
  </si>
  <si>
    <t xml:space="preserve">Reporter country</t>
  </si>
  <si>
    <t xml:space="preserve">Age in report</t>
  </si>
  <si>
    <t xml:space="preserve">Hospitalization - Initial or Prolonged/ Other</t>
  </si>
  <si>
    <t xml:space="preserve">CLOZARIL</t>
  </si>
  <si>
    <t xml:space="preserve">clozaril</t>
  </si>
  <si>
    <t xml:space="preserve">clozapine</t>
  </si>
  <si>
    <t xml:space="preserve">Primary Suspect Drug</t>
  </si>
  <si>
    <t xml:space="preserve">ORAL</t>
  </si>
  <si>
    <t xml:space="preserve">UP TO 750 MG/DAY</t>
  </si>
  <si>
    <t xml:space="preserve">schizophrenia</t>
  </si>
  <si>
    <t xml:space="preserve">cardiomyopathy / dilatation ventricular / echocardiogram abnormal / electrocardiogram abnormal / left atrial dilatation / left ventricular dysfunction / right ventricular dysfunction / ventricular hypokinesia</t>
  </si>
  <si>
    <t xml:space="preserve">M</t>
  </si>
  <si>
    <t xml:space="preserve">AUSTRALIA</t>
  </si>
  <si>
    <t xml:space="preserve">400 MG</t>
  </si>
  <si>
    <t xml:space="preserve">atrial hypertrophy / cardiomyopathy / diastolic dysfunction / dilatation ventricular / echocardiogram abnormal / ejection fraction decreased / heart valve insufficiency / ventricular hypokinesia</t>
  </si>
  <si>
    <t xml:space="preserve">Other</t>
  </si>
  <si>
    <t xml:space="preserve">12.5 - 300 MG DAILY</t>
  </si>
  <si>
    <t xml:space="preserve">aortic valve incompetence / diastolic dysfunction / echocardiogram abnormal / vomiting</t>
  </si>
  <si>
    <t xml:space="preserve">null</t>
  </si>
  <si>
    <t xml:space="preserve">Hospitalization - Initial or Prolonged</t>
  </si>
  <si>
    <t xml:space="preserve">325MG/DAY</t>
  </si>
  <si>
    <t xml:space="preserve">dyspnoea / echocardiogram abnormal / infection / neutrophil count increased / palpitations / ventricular tachycardia / white blood cell count increased</t>
  </si>
  <si>
    <t xml:space="preserve">F</t>
  </si>
  <si>
    <t xml:space="preserve">IRELAND</t>
  </si>
  <si>
    <t xml:space="preserve">450MG/DAY</t>
  </si>
  <si>
    <t xml:space="preserve">aortic valve incompetence / blood gases abnormal / body temperature increased / cardiac failure congestive / chronic obstructive pulmonary disease / constipation / cough / crepitations / diabetes mellitus non-insulin-dependent / dyspnoea / echocardiogram abnormal / electrocardiogram abnormal / hyperhidrosis / hypertension / lower respiratory tract infection / mitral valve incompetence / oedema peripheral / overweight / pericardial effusion / pitting oedema / ventricular hypertrophy / wheezing</t>
  </si>
  <si>
    <t xml:space="preserve">UNITED KINGDOM</t>
  </si>
  <si>
    <t xml:space="preserve">550 MG DAILY</t>
  </si>
  <si>
    <t xml:space="preserve">acquired cardiac septal defect / drug toxicity / echocardiogram abnormal / ejection fraction decreased / psychotic disorder</t>
  </si>
  <si>
    <t xml:space="preserve">UNK, UNK</t>
  </si>
  <si>
    <t xml:space="preserve">cardiac arrest / echocardiogram abnormal / lung disorder / troponin increased</t>
  </si>
  <si>
    <t xml:space="preserve">125 MG, DAILY</t>
  </si>
  <si>
    <t xml:space="preserve">chest pain / echocardiogram abnormal / influenza like illness / troponin increased</t>
  </si>
  <si>
    <t xml:space="preserve">25 - 425 MG, UNK</t>
  </si>
  <si>
    <t xml:space="preserve">cardiomyopathy / echocardiogram abnormal / ejection fraction decreased / ventricular hypokinesia</t>
  </si>
  <si>
    <t xml:space="preserve">Life-Threatening</t>
  </si>
  <si>
    <t xml:space="preserve">CLOZAPINE</t>
  </si>
  <si>
    <t xml:space="preserve">TITRATED TO 200 MG B.I.D.</t>
  </si>
  <si>
    <t xml:space="preserve">schizoaffective disorder</t>
  </si>
  <si>
    <t xml:space="preserve">cardiac failure congestive / catheterisation cardiac / chest pain / disorientation / dysarthria / echocardiogram abnormal / ejection fraction decreased / electrocardiogram t wave inversion / eosinophil percentage increased / eosinophilia / influenza like illness / lethargy / leukocytosis / mental status changes / myocarditis / nasal congestion / pain / pericardial effusion / pericarditis / pyrexia / sedation / sinus tachycardia / throat irritation / troponin increased / ventricular hypertrophy / ventricular hypokinesia</t>
  </si>
  <si>
    <t xml:space="preserve">UNITED STATES</t>
  </si>
  <si>
    <t xml:space="preserve">300 MG/DAY</t>
  </si>
  <si>
    <t xml:space="preserve">anxiety / echocardiogram abnormal / pericardial disease / sedation / sinus tachycardia / social avoidant behaviour / syncope</t>
  </si>
  <si>
    <t xml:space="preserve">UP TO 200 MG/DAY</t>
  </si>
  <si>
    <t xml:space="preserve">dilatation atrial / echocardiogram abnormal / tachycardia</t>
  </si>
  <si>
    <t xml:space="preserve">cardiac murmur / cardiomyopathy / echocardiogram abnormal / tachycardia / ventricular dysfunction</t>
  </si>
  <si>
    <t xml:space="preserve">200 MG/DAY</t>
  </si>
  <si>
    <t xml:space="preserve">echocardiogram abnormal / pulmonary valve incompetence / tricuspid valve incompetence / ventricular dysfunction / ventricular dyskinesia / ventricular hypokinesia</t>
  </si>
  <si>
    <t xml:space="preserve">300 MG PER DAY</t>
  </si>
  <si>
    <t xml:space="preserve">cardiac valve disease / convulsion / echocardiogram abnormal / hyponatraemia / lipids increased / troponin increased</t>
  </si>
  <si>
    <t xml:space="preserve">CANADA</t>
  </si>
  <si>
    <t xml:space="preserve">200-600MG DAILY</t>
  </si>
  <si>
    <t xml:space="preserve">blood pressure diastolic increased / echocardiogram abnormal / electrocardiogram abnormal / eosinophil count increased / hypertension / myocardial ischaemia / scan myocardial perfusion / ventricular dysfunction / ventricular hypertrophy</t>
  </si>
  <si>
    <t xml:space="preserve">LEPONEX</t>
  </si>
  <si>
    <t xml:space="preserve">leponex</t>
  </si>
  <si>
    <t xml:space="preserve">asthenia / blood creatine phosphokinase increased / bronchitis / chest pain / echocardiogram abnormal / electrocardiogram abnormal / headache / leukocytosis / liver disorder / myocarditis / palpitations / pericardial effusion / pyrexia / splenomegaly / tachycardia / transaminases increased / ultrasound scan abnormal / viral infection</t>
  </si>
  <si>
    <t xml:space="preserve">GERMANY</t>
  </si>
  <si>
    <t xml:space="preserve">50 - 600MG DAILY, NOCTE</t>
  </si>
  <si>
    <t xml:space="preserve">cardiomyopathy / chest pain / dilatation ventricular / dyspnoea / echocardiogram abnormal / ejection fraction decreased / left ventricular dysfunction</t>
  </si>
  <si>
    <t xml:space="preserve">Life-Threatening/ Hospitalization - Initial or Prolonged/ Disability/ Other</t>
  </si>
  <si>
    <t xml:space="preserve">175MG AM / 300MG PM</t>
  </si>
  <si>
    <t xml:space="preserve">alanine aminotransferase increased / blood creatinine increased / blood urea increased / cardiac failure / cardiomegaly / cardiomyopathy / dyspnoea / echocardiogram abnormal / exercise tolerance decreased / haemoptysis / hypotension / left ventricular failure / liver function test abnormal / lower respiratory tract infection / renal impairment</t>
  </si>
  <si>
    <t xml:space="preserve">150 MG, QD</t>
  </si>
  <si>
    <t xml:space="preserve">dilatation ventricular / echocardiogram abnormal / hypertension / tachycardia / treatment noncompliance / type 2 diabetes mellitus / ventricular hypertrophy / ventricular hypokinesia / weight increased</t>
  </si>
  <si>
    <t xml:space="preserve">25-475 MG DAILY</t>
  </si>
  <si>
    <t xml:space="preserve">cardiomyopathy / echocardiogram abnormal / left ventricular hypertrophy / ventricular dysfunction</t>
  </si>
  <si>
    <t xml:space="preserve">625 MG/DAY</t>
  </si>
  <si>
    <t xml:space="preserve">blood potassium increased / blood thyroid stimulating hormone decreased / cardiomyopathy / drug level above therapeutic / echocardiogram abnormal / left ventricular hypertrophy</t>
  </si>
  <si>
    <t xml:space="preserve">350 MG/DAY</t>
  </si>
  <si>
    <t xml:space="preserve">psychotic disorder</t>
  </si>
  <si>
    <t xml:space="preserve">anxiety / benign cardiac neoplasm / cardiac myxoma / cardiac neoplasm unspecified / claustrophobia / echocardiogram abnormal / heart rate increased / hypertension / lipoma</t>
  </si>
  <si>
    <t xml:space="preserve">900 MG</t>
  </si>
  <si>
    <t xml:space="preserve">schizophrenia, paranoid type</t>
  </si>
  <si>
    <t xml:space="preserve">chest pain / echocardiogram abnormal / pulmonary embolism / schizophrenia</t>
  </si>
  <si>
    <t xml:space="preserve">UNK</t>
  </si>
  <si>
    <t xml:space="preserve">convulsion / echocardiogram abnormal</t>
  </si>
  <si>
    <t xml:space="preserve">425 MG, UNK</t>
  </si>
  <si>
    <t xml:space="preserve">blood sodium decreased / cachexia / cardiomyopathy / dyspnoea / echocardiogram abnormal / emphysema / malaise / pancoast's tumour / respiratory rate increased / wheezing</t>
  </si>
  <si>
    <t xml:space="preserve">750 MG/DAY</t>
  </si>
  <si>
    <t xml:space="preserve">blood creatinine decreased / cardiac ventricular disorder / cardiomyopathy / echocardiogram abnormal / ejection fraction decreased / hallucination, auditory / mean cell haemoglobin decreased / ventricular hypokinesia</t>
  </si>
  <si>
    <t xml:space="preserve">500 MG, QD, 100 MG MANE AND 400 MG NOCTE</t>
  </si>
  <si>
    <t xml:space="preserve">cardiac disorder / echocardiogram abnormal / electrocardiogram qt prolonged / libido decreased / sexual dysfunction</t>
  </si>
  <si>
    <t xml:space="preserve">blood alkaline phosphatase increased / blood cholesterol increased / blood creatinine decreased / blood triglycerides increased / blood urea decreased / c-reactive protein increased / cholecystectomy / echocardiogram abnormal / electrocardiogram st segment elevation / gamma-glutamyltransferase increased / high density lipoprotein decreased / hypokinesia / left ventricular dysfunction / left ventricular hypertrophy / low density lipoprotein increased / malaise / peritonitis / pneumonia / post cholecystectomy syndrome / troponin i increased</t>
  </si>
  <si>
    <t xml:space="preserve">800 MG DAILY</t>
  </si>
  <si>
    <t xml:space="preserve">dilatation ventricular / echocardiogram abnormal / ejection fraction decreased / left ventricular dysfunction / mental disorder</t>
  </si>
  <si>
    <t xml:space="preserve">500 MG/DAY</t>
  </si>
  <si>
    <t xml:space="preserve">echocardiogram abnormal / electrocardiogram abnormal / left ventricular dysfunction / sinus tachycardia / ventricular extrasystoles / ventricular hypokinesia</t>
  </si>
  <si>
    <t xml:space="preserve">25-800MG</t>
  </si>
  <si>
    <t xml:space="preserve">blood creatine phosphokinase mb / chest pain / dizziness / echocardiogram abnormal / electrocardiogram change / heart rate irregular / left ventricular hypertrophy / palpitations / tachycardia / ventricular arrhythmia</t>
  </si>
  <si>
    <t xml:space="preserve">0 - 325 MG/DAY</t>
  </si>
  <si>
    <t xml:space="preserve">echocardiogram abnormal / electrocardiogram abnormal / electrocardiogram t wave abnormal / heart rate increased / left atrial dilatation / sinus tachycardia / tricuspid valve incompetence</t>
  </si>
  <si>
    <t xml:space="preserve">Death/ Hospitalization - Initial or Prolonged/ Other</t>
  </si>
  <si>
    <t xml:space="preserve">echocardiogram abnormal / myocarditis / tachycardia / troponin increased</t>
  </si>
  <si>
    <t xml:space="preserve">200 MG, DAILY</t>
  </si>
  <si>
    <t xml:space="preserve">band neutrophil count increased / blood bicarbonate decreased / c-reactive protein increased / cell marker increased / dizziness / dyspnoea / echocardiogram abnormal / electrocardiogram abnormal / eosinophil count increased / haematocrit decreased / heart rate increased / hyperhidrosis / infection / left ventricular dysfunction / lymphocyte morphology abnormal / myelocyte count increased / myocarditis / neutrophil count increased / oedema peripheral / palpitations / pyrexia / red blood cell sedimentation rate abnormal / sinus tachycardia / tachycardia / troponin i increased / ventricular hypokinesia / white blood cell count increased</t>
  </si>
  <si>
    <t xml:space="preserve">UP TO 625 MG/DAY</t>
  </si>
  <si>
    <t xml:space="preserve">cardiac output decreased / cardiomegaly / cardiomyopathy / chest discomfort / dyspnoea / echocardiogram abnormal / hallucination, auditory / heart rate increased / mental impairment / mitral valve incompetence / myocarditis / schizophrenia / systolic dysfunction</t>
  </si>
  <si>
    <t xml:space="preserve">325 MG, DAILY</t>
  </si>
  <si>
    <t xml:space="preserve">cardiomyopathy / echocardiogram abnormal / ventricular dysfunction</t>
  </si>
  <si>
    <t xml:space="preserve">100 MG</t>
  </si>
  <si>
    <t xml:space="preserve">cardiac disorder / carditis / echocardiogram abnormal</t>
  </si>
  <si>
    <t xml:space="preserve">UNK UKN, UNK</t>
  </si>
  <si>
    <t xml:space="preserve">echocardiogram abnormal / myocarditis / pyrexia</t>
  </si>
  <si>
    <t xml:space="preserve">AU</t>
  </si>
  <si>
    <t xml:space="preserve">antipsychotic drug level below therapeutic / blood alkaline phosphatase increased / blood prolactin increased / echocardiogram abnormal / electrocardiogram abnormal / haemodynamic instability / myocardial infarction / neutrophilia / pericardial effusion / sinus tachycardia / white blood cell count increased</t>
  </si>
  <si>
    <t xml:space="preserve">200 MG, QD</t>
  </si>
  <si>
    <t xml:space="preserve">echocardiogram abnormal / electrocardiogram abnormal</t>
  </si>
  <si>
    <t xml:space="preserve">IE</t>
  </si>
  <si>
    <t xml:space="preserve">175 MG, DAILY</t>
  </si>
  <si>
    <t xml:space="preserve">echocardiogram abnormal / ventricular hypokinesia / weight increased</t>
  </si>
  <si>
    <t xml:space="preserve">Secondary Suspect Drug</t>
  </si>
  <si>
    <t xml:space="preserve">Unknown</t>
  </si>
  <si>
    <t xml:space="preserve">product used for unknown indication</t>
  </si>
  <si>
    <t xml:space="preserve">aspartate aminotransferase increased / bilirubin conjugated increased / blood bicarbonate decreased / blood bilirubin increased / blood creatine decreased / blood glucose increased / blood lactate dehydrogenase increased / blood sodium decreased / blood uric acid increased / cardiac disorder / cardiomyopathy / echocardiogram abnormal / globulins decreased / psychiatric decompensation / tachycardia</t>
  </si>
  <si>
    <t xml:space="preserve">Oral</t>
  </si>
  <si>
    <t xml:space="preserve">50 MG, AM</t>
  </si>
  <si>
    <t xml:space="preserve">body mass index increased / c-reactive protein increased / chest pain / echocardiogram abnormal / electrocardiogram t wave inversion / mean cell haemoglobin decreased / mean cell volume decreased / myocarditis</t>
  </si>
  <si>
    <t xml:space="preserve">400 MG, UNK</t>
  </si>
  <si>
    <t xml:space="preserve">adverse drug reaction / c-reactive protein increased / echocardiogram abnormal / incorrect dose administered / product dispensing error / troponin increased</t>
  </si>
  <si>
    <t xml:space="preserve">400 MG, PM</t>
  </si>
  <si>
    <t xml:space="preserve">echocardiogram abnormal / myocarditis</t>
  </si>
  <si>
    <t xml:space="preserve">250 MG, UNKNOWN</t>
  </si>
  <si>
    <t xml:space="preserve">aspartate aminotransferase increased / bilirubin conjugated increased / blood bicarbonate decreased / blood bilirubin increased / blood creatinine increased / blood glucose increased / blood lactate dehydrogenase increased / blood sodium decreased / blood uric acid increased / cardiac disorder / cardiomyopathy / echocardiogram abnormal / ejection fraction decreased / globulins decreased / left ventricular dysfunction / psychiatric decompensation / tachycardia</t>
  </si>
  <si>
    <t xml:space="preserve">650 MILLIGRAM</t>
  </si>
  <si>
    <t xml:space="preserve">blood alkaline phosphatase increased / bundle branch block / echocardiogram abnormal / ejection fraction decreased</t>
  </si>
  <si>
    <t xml:space="preserve">400 MILLIGRAM</t>
  </si>
  <si>
    <t xml:space="preserve">echocardiogram abnormal</t>
  </si>
  <si>
    <t xml:space="preserve">200 MILLIGRAM</t>
  </si>
  <si>
    <t xml:space="preserve">acute hepatic failure / echocardiogram abnormal / hepatic function abnormal / hepatitis / liver injury</t>
  </si>
  <si>
    <t xml:space="preserve">adjusted calcium decreased / anion gap increased / blood creatinine decreased / blood glucose increased / blood magnesium decreased / blood osmolarity decreased / blood sodium decreased / blood urea abnormal / echocardiogram abnormal / lymphocyte count decreased / therapy cessation / white blood cell count decreased</t>
  </si>
  <si>
    <t xml:space="preserve">dyspnoea / echocardiogram abnormal / ejection fraction decreased</t>
  </si>
  <si>
    <t xml:space="preserve">cardiac disorder / cardiac septal hypertrophy / drug level increased / echocardiogram abnormal / gamma-glutamyltransferase increased / left ventricular hypertrophy / mitral valve incompetence / sinus rhythm / tricuspid valve incompetence</t>
  </si>
  <si>
    <t xml:space="preserve">bladder discomfort / echocardiogram abnormal / ejection fraction decreased / left ventricular dysfunction / liver function test abnormal / myocarditis / neutrophil count increased / pollakiuria / pyrexia / systolic dysfunction / urine abnormality / white blood cells urine positive</t>
  </si>
  <si>
    <t xml:space="preserve">c-reactive protein increased / dyspnoea / echocardiogram abnormal / tachycardia / troponin increased</t>
  </si>
  <si>
    <t xml:space="preserve">ISR kept</t>
  </si>
  <si>
    <t xml:space="preserve">ISR versions in case</t>
  </si>
  <si>
    <t xml:space="preserve">Rows in case</t>
  </si>
  <si>
    <t xml:space="preserve">Rows dropped</t>
  </si>
  <si>
    <t xml:space="preserve">Drug_seq kept</t>
  </si>
  <si>
    <t xml:space="preserve">Role code kept</t>
  </si>
  <si>
    <t xml:space="preserve">Why this row</t>
  </si>
  <si>
    <t xml:space="preserve">Primary suspect, latest report version</t>
  </si>
  <si>
    <t xml:space="preserve">No primary suspect row in this case - kept secondary suspect drug from latest version</t>
  </si>
  <si>
    <t xml:space="preserve">Rows kept</t>
  </si>
  <si>
    <t xml:space="preserve">Unique Case_id kept</t>
  </si>
  <si>
    <t xml:space="preserve">Kept + dropped</t>
  </si>
  <si>
    <t xml:space="preserve">cardiomyopathy / congestive cardiomyopathy / dilatation atrial / dilatation ventricular / echocardiogram abnormal / ventricular dysfunction / ventricular hypokinesia</t>
  </si>
  <si>
    <t xml:space="preserve">750MG</t>
  </si>
  <si>
    <t xml:space="preserve">atrial hypertrophy / cardiomyopathy / diastolic dysfunction / dilatation ventricular / echocardiogram abnormal / ejection fraction decreased / ventricular hypokinesia</t>
  </si>
  <si>
    <t xml:space="preserve">aortic valve incompetence / echocardiogram abnormal / vomiting</t>
  </si>
  <si>
    <t xml:space="preserve">dyspnoea / echocardiogram abnormal / palpitations / ventricular tachycardia</t>
  </si>
  <si>
    <t xml:space="preserve">aortic valve incompetence / blood gases abnormal / body temperature increased / cardiac failure / cardiac failure congestive / chronic obstructive pulmonary disease / constipation / cough / crepitations / diabetes mellitus non-insulin-dependent / dyspnoea / echocardiogram abnormal / electrocardiogram abnormal / hyperhidrosis / hypertension / lower respiratory tract infection / mitral valve incompetence / oedema peripheral / overweight / pericardial effusion / pitting oedema / ventricular hypertrophy / wheezing</t>
  </si>
  <si>
    <t xml:space="preserve">acquired cardiac septal defect / drug toxicity / echocardiogram abnormal / ejection fraction decreased</t>
  </si>
  <si>
    <t xml:space="preserve">echocardiogram abnormal / ejection fraction decreased / ventricular hypokinesia</t>
  </si>
  <si>
    <t xml:space="preserve">400 MG/DAY</t>
  </si>
  <si>
    <t xml:space="preserve">400MG/DAY</t>
  </si>
  <si>
    <t xml:space="preserve">echocardiogram abnormal / sedation / social avoidant behaviour / syncope / tachycardia</t>
  </si>
  <si>
    <t xml:space="preserve">275 MG/DAY</t>
  </si>
  <si>
    <t xml:space="preserve">50 MG PER DAY</t>
  </si>
  <si>
    <t xml:space="preserve">chest pain / dyspnoea / echocardiogram abnormal / ejection fraction decreased / left ventricular dysfunction</t>
  </si>
  <si>
    <t xml:space="preserve">12.5-500MG DAILY</t>
  </si>
  <si>
    <t xml:space="preserve">dilatation ventricular / echocardiogram abnormal / hypertension / tachycardia / type 2 diabetes mellitus / ventricular hypertrophy / ventricular hypokinesia</t>
  </si>
  <si>
    <t xml:space="preserve">150 MG</t>
  </si>
  <si>
    <t xml:space="preserve">12.5 - 400 MG DAILY</t>
  </si>
  <si>
    <t xml:space="preserve">25 - 350MG DAILY</t>
  </si>
  <si>
    <t xml:space="preserve">150-350MG DAILY</t>
  </si>
  <si>
    <t xml:space="preserve">300 MG, BID</t>
  </si>
  <si>
    <t xml:space="preserve">350 MG DAILY</t>
  </si>
  <si>
    <t xml:space="preserve">175 UNK, UNK</t>
  </si>
  <si>
    <t xml:space="preserve">225 UNK, UNK</t>
  </si>
  <si>
    <t xml:space="preserve">300 UNK, UNK</t>
  </si>
  <si>
    <t xml:space="preserve">350 UNK, UNK</t>
  </si>
  <si>
    <t xml:space="preserve">550 MG, UNK</t>
  </si>
  <si>
    <t xml:space="preserve">450 MG, UNK</t>
  </si>
  <si>
    <t xml:space="preserve">250 MANAE AND 500MG NOCTE</t>
  </si>
  <si>
    <t xml:space="preserve">blood creatinine decreased / cardiac ventricular disorder / echocardiogram abnormal / ejection fraction decreased / hallucination, auditory / mean cell haemoglobin decreased / ventricular hypokinesia</t>
  </si>
  <si>
    <t xml:space="preserve">12.5-200MG NOCTE</t>
  </si>
  <si>
    <t xml:space="preserve">12.5 - 300 MG</t>
  </si>
  <si>
    <t xml:space="preserve">250 MG, PM</t>
  </si>
  <si>
    <t xml:space="preserve">c-reactive protein increased / echocardiogram abnormal / troponin increased</t>
  </si>
  <si>
    <t xml:space="preserve">350 MG, UNK</t>
  </si>
  <si>
    <t xml:space="preserve">adverse drug reaction / c-reactive protein increased / echocardiogram abnormal / troponin increased</t>
  </si>
  <si>
    <t xml:space="preserve">450 MILLIGRAM</t>
  </si>
  <si>
    <t xml:space="preserve">450 milligram, qd</t>
  </si>
  <si>
    <t xml:space="preserve">200 mg</t>
  </si>
  <si>
    <t xml:space="preserve">225 mg, 1x/day (nocte)</t>
  </si>
  <si>
    <t xml:space="preserve">100 mg mane, 400 mg nocte, 75mg before bed</t>
  </si>
  <si>
    <t xml:space="preserve">100 mg mane, 475 mg nocte</t>
  </si>
  <si>
    <t xml:space="preserve">Notes on this workbook</t>
  </si>
  <si>
    <t xml:space="preserve">Source</t>
  </si>
  <si>
    <t xml:space="preserve">echocardiogram_abnormal_8_30_CLEANED.xlsx, sheet "Cleaned data" - the column-realigned version of echocardiogram_abnormal_8_30.xlsx (145 drug rows, 56 unique Case_id).</t>
  </si>
  <si>
    <t xml:space="preserve">Verified against</t>
  </si>
  <si>
    <t xml:space="preserve">Your count_duplicates.txt. Every one of the 56 Case_id values and every per-case count matches exactly, and both total 145.</t>
  </si>
  <si>
    <t xml:space="preserve">WHAT WAS DONE</t>
  </si>
  <si>
    <t xml:space="preserve">Collapsed to one row per Case_id: 56 rows kept, 89 dropped. No Case_id appears twice on "Deduplicated (56)".</t>
  </si>
  <si>
    <t xml:space="preserve">IMPORTANT - these were not identical copies</t>
  </si>
  <si>
    <t xml:space="preserve">The 145 rows are DRUG-level records, not repeated copies of the same information. A Case_id has several rows because the report lists several drugs, or because FDA received follow-up versions of it (16 rows for Case_id 14592520, 8 for 7238980). Dropping them discards real data: other Drug_seq entries, other doses, other ISR versions.</t>
  </si>
  <si>
    <t xml:space="preserve">Selection rule</t>
  </si>
  <si>
    <t xml:space="preserve">For each Case_id: take the LATEST report version (max Date received, then max ISR), then within it prefer Primary Suspect Drug, then Secondary Suspect, then Interacting, then Concomitant, breaking ties on the lowest Drug_seq. This keeps the row where clozapine is the suspect drug wherever one exists.</t>
  </si>
  <si>
    <t xml:space="preserve">Coverage</t>
  </si>
  <si>
    <t xml:space="preserve">51 of 56 cases had a primary suspect row and kept it. The remaining 5 have no primary suspect row anywhere in the case (clozapine is recorded as secondary suspect throughout), so the best available row was kept and the reason is shaded on "Selection log".</t>
  </si>
  <si>
    <t xml:space="preserve">Nothing lost</t>
  </si>
  <si>
    <t xml:space="preserve">All 89 dropped rows are on "Dropped rows" in full, so any per-drug or per-version analysis can still be run and the split can be reversed.</t>
  </si>
  <si>
    <t xml:space="preserve">Sheets</t>
  </si>
  <si>
    <t xml:space="preserve">"Deduplicated (56)" - the file you asked for, 17 columns, one row per Case_id. "Selection log" - which row was kept for each case and why, with a check block. "Dropped rows" - the 89 removed rows.</t>
  </si>
  <si>
    <t xml:space="preserve">Before you use this</t>
  </si>
  <si>
    <t xml:space="preserve">Event, Outcome and Reporter country can differ between versions of the same case (12, 2 and 3 cases respectively in this extraction). The kept row carries the LATEST version of those fields, which is usually what you want for case-level counting, but it does mean a value here may not match an earlier printout of the same case.</t>
  </si>
</sst>
</file>

<file path=xl/styles.xml><?xml version="1.0" encoding="utf-8"?>
<styleSheet xmlns="http://schemas.openxmlformats.org/spreadsheetml/2006/main">
  <numFmts count="3">
    <numFmt numFmtId="164" formatCode="General"/>
    <numFmt numFmtId="165" formatCode="yyyy\-mm\-dd"/>
    <numFmt numFmtId="166"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2"/>
    <col collapsed="false" customWidth="true" hidden="false" outlineLevel="0" max="10" min="10" style="0" width="24"/>
    <col collapsed="false" customWidth="true" hidden="false" outlineLevel="0" max="11" min="11" style="0" width="12"/>
    <col collapsed="false" customWidth="true" hidden="false" outlineLevel="0" max="12" min="12" style="0" width="26"/>
    <col collapsed="false" customWidth="true" hidden="false" outlineLevel="0" max="13" min="13" style="0" width="60"/>
    <col collapsed="false" customWidth="true" hidden="false" outlineLevel="0" max="14" min="14" style="0" width="11"/>
    <col collapsed="false" customWidth="true" hidden="false" outlineLevel="0" max="15" min="15" style="0" width="9"/>
    <col collapsed="false" customWidth="true" hidden="false" outlineLevel="0" max="16" min="16" style="0" width="16"/>
    <col collapsed="false" customWidth="true" hidden="false" outlineLevel="0" max="17" min="17"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5509945</v>
      </c>
      <c r="B2" s="3" t="n">
        <v>39394</v>
      </c>
      <c r="C2" s="2" t="s">
        <v>17</v>
      </c>
      <c r="D2" s="2" t="n">
        <v>1009131184</v>
      </c>
      <c r="E2" s="2" t="s">
        <v>18</v>
      </c>
      <c r="F2" s="2" t="s">
        <v>19</v>
      </c>
      <c r="G2" s="2" t="s">
        <v>20</v>
      </c>
      <c r="H2" s="2" t="s">
        <v>21</v>
      </c>
      <c r="I2" s="2" t="s">
        <v>22</v>
      </c>
      <c r="J2" s="2" t="s">
        <v>23</v>
      </c>
      <c r="K2" s="2"/>
      <c r="L2" s="2" t="s">
        <v>24</v>
      </c>
      <c r="M2" s="2" t="s">
        <v>25</v>
      </c>
      <c r="N2" s="2" t="n">
        <v>3506037</v>
      </c>
      <c r="O2" s="2" t="s">
        <v>26</v>
      </c>
      <c r="P2" s="2" t="s">
        <v>27</v>
      </c>
      <c r="Q2" s="2" t="n">
        <v>31</v>
      </c>
    </row>
    <row r="3" customFormat="false" ht="15" hidden="false" customHeight="false" outlineLevel="0" collapsed="false">
      <c r="A3" s="2" t="n">
        <v>5134401</v>
      </c>
      <c r="B3" s="3" t="n">
        <v>39015</v>
      </c>
      <c r="C3" s="2"/>
      <c r="D3" s="2" t="n">
        <v>1007785767</v>
      </c>
      <c r="E3" s="2" t="s">
        <v>18</v>
      </c>
      <c r="F3" s="2" t="s">
        <v>19</v>
      </c>
      <c r="G3" s="2" t="s">
        <v>20</v>
      </c>
      <c r="H3" s="2" t="s">
        <v>21</v>
      </c>
      <c r="I3" s="2"/>
      <c r="J3" s="2" t="s">
        <v>28</v>
      </c>
      <c r="K3" s="2"/>
      <c r="L3" s="2" t="s">
        <v>24</v>
      </c>
      <c r="M3" s="2" t="s">
        <v>29</v>
      </c>
      <c r="N3" s="2" t="n">
        <v>3624188</v>
      </c>
      <c r="O3" s="2" t="s">
        <v>26</v>
      </c>
      <c r="P3" s="2" t="s">
        <v>27</v>
      </c>
      <c r="Q3" s="2" t="n">
        <v>49</v>
      </c>
    </row>
    <row r="4" customFormat="false" ht="15" hidden="false" customHeight="false" outlineLevel="0" collapsed="false">
      <c r="A4" s="2" t="n">
        <v>4325437</v>
      </c>
      <c r="B4" s="3" t="n">
        <v>38075</v>
      </c>
      <c r="C4" s="2" t="s">
        <v>30</v>
      </c>
      <c r="D4" s="2" t="n">
        <v>1004740750</v>
      </c>
      <c r="E4" s="2" t="s">
        <v>18</v>
      </c>
      <c r="F4" s="2" t="s">
        <v>19</v>
      </c>
      <c r="G4" s="2" t="s">
        <v>20</v>
      </c>
      <c r="H4" s="2" t="s">
        <v>21</v>
      </c>
      <c r="I4" s="2" t="s">
        <v>22</v>
      </c>
      <c r="J4" s="2" t="s">
        <v>31</v>
      </c>
      <c r="K4" s="2"/>
      <c r="L4" s="2" t="s">
        <v>24</v>
      </c>
      <c r="M4" s="2" t="s">
        <v>32</v>
      </c>
      <c r="N4" s="2" t="n">
        <v>4100316</v>
      </c>
      <c r="O4" s="2" t="s">
        <v>26</v>
      </c>
      <c r="P4" s="2" t="s">
        <v>33</v>
      </c>
      <c r="Q4" s="2" t="n">
        <v>28</v>
      </c>
    </row>
    <row r="5" customFormat="false" ht="15" hidden="false" customHeight="false" outlineLevel="0" collapsed="false">
      <c r="A5" s="2" t="n">
        <v>5243890</v>
      </c>
      <c r="B5" s="3" t="n">
        <v>39135</v>
      </c>
      <c r="C5" s="2" t="s">
        <v>34</v>
      </c>
      <c r="D5" s="2" t="n">
        <v>1008171677</v>
      </c>
      <c r="E5" s="2" t="s">
        <v>18</v>
      </c>
      <c r="F5" s="2" t="s">
        <v>19</v>
      </c>
      <c r="G5" s="2" t="s">
        <v>20</v>
      </c>
      <c r="H5" s="2" t="s">
        <v>21</v>
      </c>
      <c r="I5" s="2" t="s">
        <v>22</v>
      </c>
      <c r="J5" s="2" t="s">
        <v>35</v>
      </c>
      <c r="K5" s="2"/>
      <c r="L5" s="2" t="s">
        <v>24</v>
      </c>
      <c r="M5" s="2" t="s">
        <v>36</v>
      </c>
      <c r="N5" s="2" t="n">
        <v>4131808</v>
      </c>
      <c r="O5" s="2" t="s">
        <v>37</v>
      </c>
      <c r="P5" s="2" t="s">
        <v>38</v>
      </c>
      <c r="Q5" s="2" t="n">
        <v>45</v>
      </c>
    </row>
    <row r="6" customFormat="false" ht="15" hidden="false" customHeight="false" outlineLevel="0" collapsed="false">
      <c r="A6" s="2" t="n">
        <v>5156100</v>
      </c>
      <c r="B6" s="3" t="n">
        <v>39043</v>
      </c>
      <c r="C6" s="2" t="s">
        <v>34</v>
      </c>
      <c r="D6" s="2" t="n">
        <v>1007874039</v>
      </c>
      <c r="E6" s="2" t="s">
        <v>18</v>
      </c>
      <c r="F6" s="2" t="s">
        <v>19</v>
      </c>
      <c r="G6" s="2" t="s">
        <v>20</v>
      </c>
      <c r="H6" s="2" t="s">
        <v>21</v>
      </c>
      <c r="I6" s="2" t="s">
        <v>22</v>
      </c>
      <c r="J6" s="2" t="s">
        <v>39</v>
      </c>
      <c r="K6" s="2"/>
      <c r="L6" s="2" t="s">
        <v>24</v>
      </c>
      <c r="M6" s="2" t="s">
        <v>40</v>
      </c>
      <c r="N6" s="2" t="n">
        <v>5793242</v>
      </c>
      <c r="O6" s="2" t="s">
        <v>26</v>
      </c>
      <c r="P6" s="2" t="s">
        <v>41</v>
      </c>
      <c r="Q6" s="2" t="n">
        <v>58</v>
      </c>
    </row>
    <row r="7" customFormat="false" ht="15" hidden="false" customHeight="false" outlineLevel="0" collapsed="false">
      <c r="A7" s="2" t="n">
        <v>4778329</v>
      </c>
      <c r="B7" s="3" t="n">
        <v>38621</v>
      </c>
      <c r="C7" s="2" t="s">
        <v>30</v>
      </c>
      <c r="D7" s="2" t="n">
        <v>1006452397</v>
      </c>
      <c r="E7" s="2" t="s">
        <v>18</v>
      </c>
      <c r="F7" s="2" t="s">
        <v>19</v>
      </c>
      <c r="G7" s="2" t="s">
        <v>20</v>
      </c>
      <c r="H7" s="2" t="s">
        <v>21</v>
      </c>
      <c r="I7" s="2" t="s">
        <v>22</v>
      </c>
      <c r="J7" s="2" t="s">
        <v>42</v>
      </c>
      <c r="K7" s="2" t="n">
        <v>550</v>
      </c>
      <c r="L7" s="2" t="s">
        <v>24</v>
      </c>
      <c r="M7" s="2" t="s">
        <v>43</v>
      </c>
      <c r="N7" s="2" t="n">
        <v>5800586</v>
      </c>
      <c r="O7" s="2" t="s">
        <v>26</v>
      </c>
      <c r="P7" s="2" t="s">
        <v>27</v>
      </c>
      <c r="Q7" s="2" t="n">
        <v>25</v>
      </c>
    </row>
    <row r="8" customFormat="false" ht="15" hidden="false" customHeight="false" outlineLevel="0" collapsed="false">
      <c r="A8" s="2" t="n">
        <v>4713383</v>
      </c>
      <c r="B8" s="3" t="n">
        <v>38546</v>
      </c>
      <c r="C8" s="2" t="s">
        <v>30</v>
      </c>
      <c r="D8" s="2" t="n">
        <v>1006201374</v>
      </c>
      <c r="E8" s="2" t="s">
        <v>18</v>
      </c>
      <c r="F8" s="2" t="s">
        <v>19</v>
      </c>
      <c r="G8" s="2" t="s">
        <v>20</v>
      </c>
      <c r="H8" s="2" t="s">
        <v>21</v>
      </c>
      <c r="I8" s="2"/>
      <c r="J8" s="2" t="s">
        <v>44</v>
      </c>
      <c r="K8" s="2"/>
      <c r="L8" s="2" t="s">
        <v>24</v>
      </c>
      <c r="M8" s="2" t="s">
        <v>45</v>
      </c>
      <c r="N8" s="2" t="n">
        <v>5836473</v>
      </c>
      <c r="O8" s="2" t="s">
        <v>37</v>
      </c>
      <c r="P8" s="2" t="s">
        <v>27</v>
      </c>
      <c r="Q8" s="2" t="n">
        <v>53</v>
      </c>
    </row>
    <row r="9" customFormat="false" ht="15" hidden="false" customHeight="false" outlineLevel="0" collapsed="false">
      <c r="A9" s="2" t="n">
        <v>4730427</v>
      </c>
      <c r="B9" s="3" t="n">
        <v>38565</v>
      </c>
      <c r="C9" s="2" t="s">
        <v>30</v>
      </c>
      <c r="D9" s="2" t="n">
        <v>1006268877</v>
      </c>
      <c r="E9" s="2" t="s">
        <v>18</v>
      </c>
      <c r="F9" s="2" t="s">
        <v>19</v>
      </c>
      <c r="G9" s="2" t="s">
        <v>20</v>
      </c>
      <c r="H9" s="2" t="s">
        <v>21</v>
      </c>
      <c r="I9" s="2" t="s">
        <v>22</v>
      </c>
      <c r="J9" s="2" t="s">
        <v>46</v>
      </c>
      <c r="K9" s="2" t="n">
        <v>125</v>
      </c>
      <c r="L9" s="2"/>
      <c r="M9" s="2" t="s">
        <v>47</v>
      </c>
      <c r="N9" s="2" t="n">
        <v>5849958</v>
      </c>
      <c r="O9" s="2" t="s">
        <v>37</v>
      </c>
      <c r="P9" s="2" t="s">
        <v>27</v>
      </c>
      <c r="Q9" s="2" t="n">
        <v>73</v>
      </c>
    </row>
    <row r="10" customFormat="false" ht="15" hidden="false" customHeight="false" outlineLevel="0" collapsed="false">
      <c r="A10" s="2" t="n">
        <v>4962885</v>
      </c>
      <c r="B10" s="3" t="n">
        <v>38812</v>
      </c>
      <c r="C10" s="2" t="s">
        <v>30</v>
      </c>
      <c r="D10" s="2" t="n">
        <v>1007130608</v>
      </c>
      <c r="E10" s="2" t="s">
        <v>18</v>
      </c>
      <c r="F10" s="2" t="s">
        <v>19</v>
      </c>
      <c r="G10" s="2" t="s">
        <v>20</v>
      </c>
      <c r="H10" s="2" t="s">
        <v>21</v>
      </c>
      <c r="I10" s="2" t="s">
        <v>22</v>
      </c>
      <c r="J10" s="2" t="s">
        <v>48</v>
      </c>
      <c r="K10" s="2"/>
      <c r="L10" s="2" t="s">
        <v>24</v>
      </c>
      <c r="M10" s="2" t="s">
        <v>49</v>
      </c>
      <c r="N10" s="2" t="n">
        <v>5986510</v>
      </c>
      <c r="O10" s="2" t="s">
        <v>26</v>
      </c>
      <c r="P10" s="2" t="s">
        <v>27</v>
      </c>
      <c r="Q10" s="2" t="n">
        <v>37</v>
      </c>
    </row>
    <row r="11" customFormat="false" ht="15" hidden="false" customHeight="false" outlineLevel="0" collapsed="false">
      <c r="A11" s="2" t="n">
        <v>4914946</v>
      </c>
      <c r="B11" s="3" t="n">
        <v>38765</v>
      </c>
      <c r="C11" s="2" t="s">
        <v>50</v>
      </c>
      <c r="D11" s="2" t="n">
        <v>1006946882</v>
      </c>
      <c r="E11" s="2" t="s">
        <v>51</v>
      </c>
      <c r="F11" s="2"/>
      <c r="G11" s="2" t="s">
        <v>20</v>
      </c>
      <c r="H11" s="2" t="s">
        <v>21</v>
      </c>
      <c r="I11" s="2"/>
      <c r="J11" s="2" t="s">
        <v>52</v>
      </c>
      <c r="K11" s="2"/>
      <c r="L11" s="2" t="s">
        <v>53</v>
      </c>
      <c r="M11" s="2" t="s">
        <v>54</v>
      </c>
      <c r="N11" s="2" t="n">
        <v>5986513</v>
      </c>
      <c r="O11" s="2" t="s">
        <v>26</v>
      </c>
      <c r="P11" s="2" t="s">
        <v>55</v>
      </c>
      <c r="Q11" s="2" t="n">
        <v>27</v>
      </c>
    </row>
    <row r="12" customFormat="false" ht="15" hidden="false" customHeight="false" outlineLevel="0" collapsed="false">
      <c r="A12" s="2" t="n">
        <v>4993316</v>
      </c>
      <c r="B12" s="3" t="n">
        <v>38842</v>
      </c>
      <c r="C12" s="2" t="s">
        <v>17</v>
      </c>
      <c r="D12" s="2" t="n">
        <v>1007249371</v>
      </c>
      <c r="E12" s="2" t="s">
        <v>18</v>
      </c>
      <c r="F12" s="2" t="s">
        <v>19</v>
      </c>
      <c r="G12" s="2" t="s">
        <v>20</v>
      </c>
      <c r="H12" s="2" t="s">
        <v>21</v>
      </c>
      <c r="I12" s="2" t="s">
        <v>22</v>
      </c>
      <c r="J12" s="2" t="s">
        <v>56</v>
      </c>
      <c r="K12" s="2"/>
      <c r="L12" s="2" t="s">
        <v>24</v>
      </c>
      <c r="M12" s="2" t="s">
        <v>57</v>
      </c>
      <c r="N12" s="2" t="n">
        <v>5986517</v>
      </c>
      <c r="O12" s="2" t="s">
        <v>37</v>
      </c>
      <c r="P12" s="2" t="s">
        <v>41</v>
      </c>
      <c r="Q12" s="2" t="n">
        <v>21</v>
      </c>
    </row>
    <row r="13" customFormat="false" ht="15" hidden="false" customHeight="false" outlineLevel="0" collapsed="false">
      <c r="A13" s="2" t="n">
        <v>4943416</v>
      </c>
      <c r="B13" s="3" t="n">
        <v>38790</v>
      </c>
      <c r="C13" s="2" t="s">
        <v>30</v>
      </c>
      <c r="D13" s="2" t="n">
        <v>1007050255</v>
      </c>
      <c r="E13" s="2" t="s">
        <v>18</v>
      </c>
      <c r="F13" s="2" t="s">
        <v>19</v>
      </c>
      <c r="G13" s="2" t="s">
        <v>20</v>
      </c>
      <c r="H13" s="2" t="s">
        <v>21</v>
      </c>
      <c r="I13" s="2" t="s">
        <v>22</v>
      </c>
      <c r="J13" s="2" t="s">
        <v>58</v>
      </c>
      <c r="K13" s="2"/>
      <c r="L13" s="2" t="s">
        <v>24</v>
      </c>
      <c r="M13" s="2" t="s">
        <v>59</v>
      </c>
      <c r="N13" s="2" t="n">
        <v>6004389</v>
      </c>
      <c r="O13" s="2" t="s">
        <v>26</v>
      </c>
      <c r="P13" s="2" t="s">
        <v>27</v>
      </c>
      <c r="Q13" s="2" t="s">
        <v>33</v>
      </c>
    </row>
    <row r="14" customFormat="false" ht="15" hidden="false" customHeight="false" outlineLevel="0" collapsed="false">
      <c r="A14" s="2" t="n">
        <v>5026494</v>
      </c>
      <c r="B14" s="3" t="n">
        <v>38883</v>
      </c>
      <c r="C14" s="2" t="s">
        <v>30</v>
      </c>
      <c r="D14" s="2" t="n">
        <v>1007381968</v>
      </c>
      <c r="E14" s="2" t="s">
        <v>18</v>
      </c>
      <c r="F14" s="2" t="s">
        <v>19</v>
      </c>
      <c r="G14" s="2" t="s">
        <v>20</v>
      </c>
      <c r="H14" s="2" t="s">
        <v>21</v>
      </c>
      <c r="I14" s="2" t="s">
        <v>22</v>
      </c>
      <c r="J14" s="2"/>
      <c r="K14" s="2"/>
      <c r="L14" s="2" t="s">
        <v>24</v>
      </c>
      <c r="M14" s="2" t="s">
        <v>60</v>
      </c>
      <c r="N14" s="2" t="n">
        <v>6023519</v>
      </c>
      <c r="O14" s="2" t="s">
        <v>26</v>
      </c>
      <c r="P14" s="2" t="s">
        <v>41</v>
      </c>
      <c r="Q14" s="2" t="n">
        <v>33</v>
      </c>
    </row>
    <row r="15" customFormat="false" ht="15" hidden="false" customHeight="false" outlineLevel="0" collapsed="false">
      <c r="A15" s="2" t="n">
        <v>5042997</v>
      </c>
      <c r="B15" s="3" t="n">
        <v>38903</v>
      </c>
      <c r="C15" s="2" t="s">
        <v>30</v>
      </c>
      <c r="D15" s="2" t="n">
        <v>1007439527</v>
      </c>
      <c r="E15" s="2" t="s">
        <v>18</v>
      </c>
      <c r="F15" s="2" t="s">
        <v>19</v>
      </c>
      <c r="G15" s="2" t="s">
        <v>20</v>
      </c>
      <c r="H15" s="2" t="s">
        <v>21</v>
      </c>
      <c r="I15" s="2" t="s">
        <v>22</v>
      </c>
      <c r="J15" s="2" t="s">
        <v>61</v>
      </c>
      <c r="K15" s="2"/>
      <c r="L15" s="2" t="s">
        <v>24</v>
      </c>
      <c r="M15" s="2" t="s">
        <v>62</v>
      </c>
      <c r="N15" s="2" t="n">
        <v>6076989</v>
      </c>
      <c r="O15" s="2" t="s">
        <v>26</v>
      </c>
      <c r="P15" s="2" t="s">
        <v>27</v>
      </c>
      <c r="Q15" s="2" t="n">
        <v>35</v>
      </c>
    </row>
    <row r="16" customFormat="false" ht="15" hidden="false" customHeight="false" outlineLevel="0" collapsed="false">
      <c r="A16" s="2" t="n">
        <v>5106275</v>
      </c>
      <c r="B16" s="3" t="n">
        <v>38978</v>
      </c>
      <c r="C16" s="2" t="s">
        <v>30</v>
      </c>
      <c r="D16" s="2" t="n">
        <v>1007677802</v>
      </c>
      <c r="E16" s="2" t="s">
        <v>18</v>
      </c>
      <c r="F16" s="2" t="s">
        <v>19</v>
      </c>
      <c r="G16" s="2" t="s">
        <v>20</v>
      </c>
      <c r="H16" s="2" t="s">
        <v>21</v>
      </c>
      <c r="I16" s="2" t="s">
        <v>22</v>
      </c>
      <c r="J16" s="2" t="s">
        <v>63</v>
      </c>
      <c r="K16" s="2" t="n">
        <v>300</v>
      </c>
      <c r="L16" s="2" t="s">
        <v>24</v>
      </c>
      <c r="M16" s="2" t="s">
        <v>64</v>
      </c>
      <c r="N16" s="2" t="n">
        <v>6129591</v>
      </c>
      <c r="O16" s="2" t="s">
        <v>37</v>
      </c>
      <c r="P16" s="2" t="s">
        <v>65</v>
      </c>
      <c r="Q16" s="2" t="n">
        <v>54</v>
      </c>
    </row>
    <row r="17" customFormat="false" ht="15" hidden="false" customHeight="false" outlineLevel="0" collapsed="false">
      <c r="A17" s="2" t="n">
        <v>5215565</v>
      </c>
      <c r="B17" s="3" t="n">
        <v>39105</v>
      </c>
      <c r="C17" s="2" t="s">
        <v>30</v>
      </c>
      <c r="D17" s="2" t="n">
        <v>1008067568</v>
      </c>
      <c r="E17" s="2" t="s">
        <v>18</v>
      </c>
      <c r="F17" s="2" t="s">
        <v>19</v>
      </c>
      <c r="G17" s="2" t="s">
        <v>20</v>
      </c>
      <c r="H17" s="2" t="s">
        <v>21</v>
      </c>
      <c r="I17" s="2" t="s">
        <v>22</v>
      </c>
      <c r="J17" s="2" t="s">
        <v>66</v>
      </c>
      <c r="K17" s="2"/>
      <c r="L17" s="2" t="s">
        <v>24</v>
      </c>
      <c r="M17" s="2" t="s">
        <v>67</v>
      </c>
      <c r="N17" s="2" t="n">
        <v>6220425</v>
      </c>
      <c r="O17" s="2" t="s">
        <v>26</v>
      </c>
      <c r="P17" s="2" t="s">
        <v>27</v>
      </c>
      <c r="Q17" s="2" t="s">
        <v>33</v>
      </c>
    </row>
    <row r="18" customFormat="false" ht="15" hidden="false" customHeight="false" outlineLevel="0" collapsed="false">
      <c r="A18" s="2" t="n">
        <v>5218976</v>
      </c>
      <c r="B18" s="3" t="n">
        <v>39107</v>
      </c>
      <c r="C18" s="2" t="s">
        <v>17</v>
      </c>
      <c r="D18" s="2" t="n">
        <v>1008078315</v>
      </c>
      <c r="E18" s="2" t="s">
        <v>68</v>
      </c>
      <c r="F18" s="2" t="s">
        <v>69</v>
      </c>
      <c r="G18" s="2" t="s">
        <v>20</v>
      </c>
      <c r="H18" s="2" t="s">
        <v>21</v>
      </c>
      <c r="I18" s="2" t="s">
        <v>22</v>
      </c>
      <c r="J18" s="2" t="s">
        <v>61</v>
      </c>
      <c r="K18" s="2"/>
      <c r="L18" s="2" t="s">
        <v>24</v>
      </c>
      <c r="M18" s="2" t="s">
        <v>70</v>
      </c>
      <c r="N18" s="2" t="n">
        <v>6222887</v>
      </c>
      <c r="O18" s="2" t="s">
        <v>26</v>
      </c>
      <c r="P18" s="2" t="s">
        <v>71</v>
      </c>
      <c r="Q18" s="2" t="n">
        <v>37</v>
      </c>
    </row>
    <row r="19" customFormat="false" ht="15" hidden="false" customHeight="false" outlineLevel="0" collapsed="false">
      <c r="A19" s="2" t="n">
        <v>5607556</v>
      </c>
      <c r="B19" s="3" t="n">
        <v>39477</v>
      </c>
      <c r="C19" s="2" t="s">
        <v>30</v>
      </c>
      <c r="D19" s="2" t="n">
        <v>1009454897</v>
      </c>
      <c r="E19" s="2" t="s">
        <v>18</v>
      </c>
      <c r="F19" s="2" t="s">
        <v>19</v>
      </c>
      <c r="G19" s="2" t="s">
        <v>20</v>
      </c>
      <c r="H19" s="2" t="s">
        <v>21</v>
      </c>
      <c r="I19" s="2"/>
      <c r="J19" s="2" t="s">
        <v>72</v>
      </c>
      <c r="K19" s="2"/>
      <c r="L19" s="2" t="s">
        <v>24</v>
      </c>
      <c r="M19" s="2" t="s">
        <v>73</v>
      </c>
      <c r="N19" s="2" t="n">
        <v>6525678</v>
      </c>
      <c r="O19" s="2" t="s">
        <v>26</v>
      </c>
      <c r="P19" s="2" t="s">
        <v>27</v>
      </c>
      <c r="Q19" s="2" t="n">
        <v>34</v>
      </c>
    </row>
    <row r="20" customFormat="false" ht="15" hidden="false" customHeight="false" outlineLevel="0" collapsed="false">
      <c r="A20" s="2" t="n">
        <v>5591101</v>
      </c>
      <c r="B20" s="3" t="n">
        <v>39462</v>
      </c>
      <c r="C20" s="2" t="s">
        <v>74</v>
      </c>
      <c r="D20" s="2" t="n">
        <v>1009395414</v>
      </c>
      <c r="E20" s="2" t="s">
        <v>18</v>
      </c>
      <c r="F20" s="2" t="s">
        <v>19</v>
      </c>
      <c r="G20" s="2" t="s">
        <v>20</v>
      </c>
      <c r="H20" s="2" t="s">
        <v>21</v>
      </c>
      <c r="I20" s="2" t="s">
        <v>22</v>
      </c>
      <c r="J20" s="2" t="s">
        <v>75</v>
      </c>
      <c r="K20" s="2"/>
      <c r="L20" s="2" t="s">
        <v>24</v>
      </c>
      <c r="M20" s="2" t="s">
        <v>76</v>
      </c>
      <c r="N20" s="2" t="n">
        <v>6526867</v>
      </c>
      <c r="O20" s="2" t="s">
        <v>26</v>
      </c>
      <c r="P20" s="2" t="s">
        <v>41</v>
      </c>
      <c r="Q20" s="2" t="n">
        <v>35</v>
      </c>
    </row>
    <row r="21" customFormat="false" ht="15" hidden="false" customHeight="false" outlineLevel="0" collapsed="false">
      <c r="A21" s="2" t="n">
        <v>7128618</v>
      </c>
      <c r="B21" s="3" t="n">
        <v>40512</v>
      </c>
      <c r="C21" s="2" t="s">
        <v>30</v>
      </c>
      <c r="D21" s="2" t="n">
        <v>1015209772</v>
      </c>
      <c r="E21" s="2" t="s">
        <v>18</v>
      </c>
      <c r="F21" s="2" t="s">
        <v>19</v>
      </c>
      <c r="G21" s="2" t="s">
        <v>20</v>
      </c>
      <c r="H21" s="2" t="s">
        <v>21</v>
      </c>
      <c r="I21" s="2" t="s">
        <v>22</v>
      </c>
      <c r="J21" s="2" t="s">
        <v>77</v>
      </c>
      <c r="K21" s="2" t="n">
        <v>150</v>
      </c>
      <c r="L21" s="2" t="s">
        <v>24</v>
      </c>
      <c r="M21" s="2" t="s">
        <v>78</v>
      </c>
      <c r="N21" s="2" t="n">
        <v>6537255</v>
      </c>
      <c r="O21" s="2" t="s">
        <v>26</v>
      </c>
      <c r="P21" s="2" t="s">
        <v>27</v>
      </c>
      <c r="Q21" s="2" t="s">
        <v>33</v>
      </c>
    </row>
    <row r="22" customFormat="false" ht="15" hidden="false" customHeight="false" outlineLevel="0" collapsed="false">
      <c r="A22" s="2" t="n">
        <v>5810909</v>
      </c>
      <c r="B22" s="3" t="n">
        <v>39645</v>
      </c>
      <c r="C22" s="2" t="s">
        <v>30</v>
      </c>
      <c r="D22" s="2" t="n">
        <v>1010174833</v>
      </c>
      <c r="E22" s="2" t="s">
        <v>18</v>
      </c>
      <c r="F22" s="2" t="s">
        <v>19</v>
      </c>
      <c r="G22" s="2" t="s">
        <v>20</v>
      </c>
      <c r="H22" s="2" t="s">
        <v>21</v>
      </c>
      <c r="I22" s="2"/>
      <c r="J22" s="2" t="s">
        <v>79</v>
      </c>
      <c r="K22" s="2"/>
      <c r="L22" s="2" t="s">
        <v>24</v>
      </c>
      <c r="M22" s="2" t="s">
        <v>80</v>
      </c>
      <c r="N22" s="2" t="n">
        <v>6700692</v>
      </c>
      <c r="O22" s="2" t="s">
        <v>26</v>
      </c>
      <c r="P22" s="2" t="s">
        <v>27</v>
      </c>
      <c r="Q22" s="2" t="s">
        <v>33</v>
      </c>
    </row>
    <row r="23" customFormat="false" ht="15" hidden="false" customHeight="false" outlineLevel="0" collapsed="false">
      <c r="A23" s="2" t="n">
        <v>5934323</v>
      </c>
      <c r="B23" s="3" t="n">
        <v>39750</v>
      </c>
      <c r="C23" s="2" t="s">
        <v>30</v>
      </c>
      <c r="D23" s="2" t="n">
        <v>1010635345</v>
      </c>
      <c r="E23" s="2" t="s">
        <v>18</v>
      </c>
      <c r="F23" s="2" t="s">
        <v>19</v>
      </c>
      <c r="G23" s="2" t="s">
        <v>20</v>
      </c>
      <c r="H23" s="2" t="s">
        <v>21</v>
      </c>
      <c r="I23" s="2"/>
      <c r="J23" s="2" t="s">
        <v>81</v>
      </c>
      <c r="K23" s="2"/>
      <c r="L23" s="2" t="s">
        <v>24</v>
      </c>
      <c r="M23" s="2" t="s">
        <v>82</v>
      </c>
      <c r="N23" s="2" t="n">
        <v>6798922</v>
      </c>
      <c r="O23" s="2" t="s">
        <v>26</v>
      </c>
      <c r="P23" s="2" t="s">
        <v>27</v>
      </c>
      <c r="Q23" s="2" t="s">
        <v>33</v>
      </c>
    </row>
    <row r="24" customFormat="false" ht="15" hidden="false" customHeight="false" outlineLevel="0" collapsed="false">
      <c r="A24" s="2" t="n">
        <v>6189977</v>
      </c>
      <c r="B24" s="3" t="n">
        <v>39947</v>
      </c>
      <c r="C24" s="2" t="s">
        <v>30</v>
      </c>
      <c r="D24" s="2" t="n">
        <v>1011571787</v>
      </c>
      <c r="E24" s="2" t="s">
        <v>18</v>
      </c>
      <c r="F24" s="2" t="s">
        <v>19</v>
      </c>
      <c r="G24" s="2" t="s">
        <v>20</v>
      </c>
      <c r="H24" s="2" t="s">
        <v>21</v>
      </c>
      <c r="I24" s="2" t="s">
        <v>22</v>
      </c>
      <c r="J24" s="2" t="s">
        <v>83</v>
      </c>
      <c r="K24" s="2"/>
      <c r="L24" s="2" t="s">
        <v>84</v>
      </c>
      <c r="M24" s="2" t="s">
        <v>85</v>
      </c>
      <c r="N24" s="2" t="n">
        <v>6925608</v>
      </c>
      <c r="O24" s="2" t="s">
        <v>26</v>
      </c>
      <c r="P24" s="2" t="s">
        <v>27</v>
      </c>
      <c r="Q24" s="2" t="s">
        <v>33</v>
      </c>
    </row>
    <row r="25" customFormat="false" ht="15" hidden="false" customHeight="false" outlineLevel="0" collapsed="false">
      <c r="A25" s="2" t="n">
        <v>6153295</v>
      </c>
      <c r="B25" s="3" t="n">
        <v>39916</v>
      </c>
      <c r="C25" s="2" t="s">
        <v>17</v>
      </c>
      <c r="D25" s="2" t="n">
        <v>1011418904</v>
      </c>
      <c r="E25" s="2" t="s">
        <v>18</v>
      </c>
      <c r="F25" s="2" t="s">
        <v>19</v>
      </c>
      <c r="G25" s="2" t="s">
        <v>20</v>
      </c>
      <c r="H25" s="2" t="s">
        <v>21</v>
      </c>
      <c r="I25" s="2"/>
      <c r="J25" s="2" t="s">
        <v>86</v>
      </c>
      <c r="K25" s="2"/>
      <c r="L25" s="2" t="s">
        <v>87</v>
      </c>
      <c r="M25" s="2" t="s">
        <v>88</v>
      </c>
      <c r="N25" s="2" t="n">
        <v>6967625</v>
      </c>
      <c r="O25" s="2" t="s">
        <v>37</v>
      </c>
      <c r="P25" s="2" t="s">
        <v>27</v>
      </c>
      <c r="Q25" s="2" t="s">
        <v>33</v>
      </c>
    </row>
    <row r="26" customFormat="false" ht="15" hidden="false" customHeight="false" outlineLevel="0" collapsed="false">
      <c r="A26" s="2" t="n">
        <v>6249800</v>
      </c>
      <c r="B26" s="3" t="n">
        <v>39993</v>
      </c>
      <c r="C26" s="2" t="s">
        <v>30</v>
      </c>
      <c r="D26" s="2" t="n">
        <v>1011808971</v>
      </c>
      <c r="E26" s="2" t="s">
        <v>18</v>
      </c>
      <c r="F26" s="2" t="s">
        <v>19</v>
      </c>
      <c r="G26" s="2" t="s">
        <v>20</v>
      </c>
      <c r="H26" s="2" t="s">
        <v>21</v>
      </c>
      <c r="I26" s="2"/>
      <c r="J26" s="2" t="s">
        <v>89</v>
      </c>
      <c r="K26" s="2"/>
      <c r="L26" s="2"/>
      <c r="M26" s="2" t="s">
        <v>90</v>
      </c>
      <c r="N26" s="2" t="n">
        <v>7036359</v>
      </c>
      <c r="O26" s="2" t="s">
        <v>26</v>
      </c>
      <c r="P26" s="2" t="s">
        <v>27</v>
      </c>
      <c r="Q26" s="2" t="s">
        <v>33</v>
      </c>
    </row>
    <row r="27" customFormat="false" ht="15" hidden="false" customHeight="false" outlineLevel="0" collapsed="false">
      <c r="A27" s="2" t="n">
        <v>6539337</v>
      </c>
      <c r="B27" s="3" t="n">
        <v>40193</v>
      </c>
      <c r="C27" s="2" t="s">
        <v>30</v>
      </c>
      <c r="D27" s="2" t="n">
        <v>1012950315</v>
      </c>
      <c r="E27" s="2" t="s">
        <v>18</v>
      </c>
      <c r="F27" s="2" t="s">
        <v>19</v>
      </c>
      <c r="G27" s="2" t="s">
        <v>20</v>
      </c>
      <c r="H27" s="2" t="s">
        <v>21</v>
      </c>
      <c r="I27" s="2" t="s">
        <v>22</v>
      </c>
      <c r="J27" s="2" t="s">
        <v>91</v>
      </c>
      <c r="K27" s="2"/>
      <c r="L27" s="2" t="s">
        <v>24</v>
      </c>
      <c r="M27" s="2" t="s">
        <v>92</v>
      </c>
      <c r="N27" s="2" t="n">
        <v>7238980</v>
      </c>
      <c r="O27" s="2" t="s">
        <v>26</v>
      </c>
      <c r="P27" s="2" t="s">
        <v>27</v>
      </c>
      <c r="Q27" s="2" t="s">
        <v>33</v>
      </c>
    </row>
    <row r="28" customFormat="false" ht="15" hidden="false" customHeight="false" outlineLevel="0" collapsed="false">
      <c r="A28" s="2" t="n">
        <v>6819507</v>
      </c>
      <c r="B28" s="3" t="n">
        <v>40366</v>
      </c>
      <c r="C28" s="2" t="s">
        <v>30</v>
      </c>
      <c r="D28" s="2" t="n">
        <v>1014045880</v>
      </c>
      <c r="E28" s="2" t="s">
        <v>18</v>
      </c>
      <c r="F28" s="2" t="s">
        <v>19</v>
      </c>
      <c r="G28" s="2" t="s">
        <v>20</v>
      </c>
      <c r="H28" s="2" t="s">
        <v>21</v>
      </c>
      <c r="I28" s="2"/>
      <c r="J28" s="2" t="s">
        <v>93</v>
      </c>
      <c r="K28" s="2"/>
      <c r="L28" s="2" t="s">
        <v>24</v>
      </c>
      <c r="M28" s="2" t="s">
        <v>94</v>
      </c>
      <c r="N28" s="2" t="n">
        <v>7406766</v>
      </c>
      <c r="O28" s="2" t="s">
        <v>26</v>
      </c>
      <c r="P28" s="2" t="s">
        <v>27</v>
      </c>
      <c r="Q28" s="2" t="s">
        <v>33</v>
      </c>
    </row>
    <row r="29" customFormat="false" ht="15" hidden="false" customHeight="false" outlineLevel="0" collapsed="false">
      <c r="A29" s="2" t="n">
        <v>6849111</v>
      </c>
      <c r="B29" s="3" t="n">
        <v>40375</v>
      </c>
      <c r="C29" s="2" t="s">
        <v>30</v>
      </c>
      <c r="D29" s="2" t="n">
        <v>1014152544</v>
      </c>
      <c r="E29" s="2" t="s">
        <v>18</v>
      </c>
      <c r="F29" s="2" t="s">
        <v>19</v>
      </c>
      <c r="G29" s="2" t="s">
        <v>20</v>
      </c>
      <c r="H29" s="2" t="s">
        <v>21</v>
      </c>
      <c r="I29" s="2"/>
      <c r="J29" s="2" t="s">
        <v>95</v>
      </c>
      <c r="K29" s="2"/>
      <c r="L29" s="2" t="s">
        <v>24</v>
      </c>
      <c r="M29" s="2" t="s">
        <v>96</v>
      </c>
      <c r="N29" s="2" t="n">
        <v>7480355</v>
      </c>
      <c r="O29" s="2" t="s">
        <v>26</v>
      </c>
      <c r="P29" s="2" t="s">
        <v>27</v>
      </c>
      <c r="Q29" s="2" t="s">
        <v>33</v>
      </c>
    </row>
    <row r="30" customFormat="false" ht="15" hidden="false" customHeight="false" outlineLevel="0" collapsed="false">
      <c r="A30" s="2" t="n">
        <v>7130468</v>
      </c>
      <c r="B30" s="3" t="n">
        <v>40513</v>
      </c>
      <c r="C30" s="2" t="s">
        <v>34</v>
      </c>
      <c r="D30" s="2" t="n">
        <v>1015216507</v>
      </c>
      <c r="E30" s="2" t="s">
        <v>18</v>
      </c>
      <c r="F30" s="2" t="s">
        <v>19</v>
      </c>
      <c r="G30" s="2" t="s">
        <v>20</v>
      </c>
      <c r="H30" s="2" t="s">
        <v>21</v>
      </c>
      <c r="I30" s="2"/>
      <c r="J30" s="2" t="s">
        <v>89</v>
      </c>
      <c r="K30" s="2"/>
      <c r="L30" s="2" t="s">
        <v>87</v>
      </c>
      <c r="M30" s="2" t="s">
        <v>97</v>
      </c>
      <c r="N30" s="2" t="n">
        <v>7653965</v>
      </c>
      <c r="O30" s="2" t="s">
        <v>26</v>
      </c>
      <c r="P30" s="2" t="s">
        <v>27</v>
      </c>
      <c r="Q30" s="2" t="n">
        <v>32</v>
      </c>
    </row>
    <row r="31" customFormat="false" ht="15" hidden="false" customHeight="false" outlineLevel="0" collapsed="false">
      <c r="A31" s="2" t="n">
        <v>7533301</v>
      </c>
      <c r="B31" s="3" t="n">
        <v>40702</v>
      </c>
      <c r="C31" s="2" t="s">
        <v>30</v>
      </c>
      <c r="D31" s="2" t="n">
        <v>1016707268</v>
      </c>
      <c r="E31" s="2" t="s">
        <v>51</v>
      </c>
      <c r="F31" s="2"/>
      <c r="G31" s="2" t="s">
        <v>20</v>
      </c>
      <c r="H31" s="2" t="s">
        <v>21</v>
      </c>
      <c r="I31" s="2"/>
      <c r="J31" s="2" t="s">
        <v>98</v>
      </c>
      <c r="K31" s="2" t="n">
        <v>800</v>
      </c>
      <c r="L31" s="2" t="s">
        <v>24</v>
      </c>
      <c r="M31" s="2" t="s">
        <v>99</v>
      </c>
      <c r="N31" s="2" t="n">
        <v>7980917</v>
      </c>
      <c r="O31" s="2" t="s">
        <v>26</v>
      </c>
      <c r="P31" s="2" t="s">
        <v>27</v>
      </c>
      <c r="Q31" s="2" t="n">
        <v>23</v>
      </c>
    </row>
    <row r="32" customFormat="false" ht="15" hidden="false" customHeight="false" outlineLevel="0" collapsed="false">
      <c r="A32" s="2" t="n">
        <v>7533839</v>
      </c>
      <c r="B32" s="3" t="n">
        <v>40702</v>
      </c>
      <c r="C32" s="2" t="s">
        <v>30</v>
      </c>
      <c r="D32" s="2" t="n">
        <v>1016708802</v>
      </c>
      <c r="E32" s="2" t="s">
        <v>51</v>
      </c>
      <c r="F32" s="2"/>
      <c r="G32" s="2" t="s">
        <v>20</v>
      </c>
      <c r="H32" s="2" t="s">
        <v>21</v>
      </c>
      <c r="I32" s="2" t="s">
        <v>22</v>
      </c>
      <c r="J32" s="2" t="s">
        <v>100</v>
      </c>
      <c r="K32" s="2"/>
      <c r="L32" s="2"/>
      <c r="M32" s="2" t="s">
        <v>101</v>
      </c>
      <c r="N32" s="2" t="n">
        <v>7981414</v>
      </c>
      <c r="O32" s="2" t="s">
        <v>37</v>
      </c>
      <c r="P32" s="2" t="s">
        <v>27</v>
      </c>
      <c r="Q32" s="2" t="n">
        <v>40</v>
      </c>
    </row>
    <row r="33" customFormat="false" ht="15" hidden="false" customHeight="false" outlineLevel="0" collapsed="false">
      <c r="A33" s="2" t="n">
        <v>7544172</v>
      </c>
      <c r="B33" s="3" t="n">
        <v>40707</v>
      </c>
      <c r="C33" s="2" t="s">
        <v>30</v>
      </c>
      <c r="D33" s="2" t="n">
        <v>1016745997</v>
      </c>
      <c r="E33" s="2" t="s">
        <v>51</v>
      </c>
      <c r="F33" s="2"/>
      <c r="G33" s="2" t="s">
        <v>20</v>
      </c>
      <c r="H33" s="2" t="s">
        <v>21</v>
      </c>
      <c r="I33" s="2" t="s">
        <v>22</v>
      </c>
      <c r="J33" s="2" t="s">
        <v>102</v>
      </c>
      <c r="K33" s="2"/>
      <c r="L33" s="2" t="s">
        <v>24</v>
      </c>
      <c r="M33" s="2" t="s">
        <v>103</v>
      </c>
      <c r="N33" s="2" t="n">
        <v>7988737</v>
      </c>
      <c r="O33" s="2" t="s">
        <v>26</v>
      </c>
      <c r="P33" s="2" t="s">
        <v>27</v>
      </c>
      <c r="Q33" s="2" t="n">
        <v>30</v>
      </c>
    </row>
    <row r="34" customFormat="false" ht="15" hidden="false" customHeight="false" outlineLevel="0" collapsed="false">
      <c r="A34" s="2" t="n">
        <v>7546316</v>
      </c>
      <c r="B34" s="3" t="n">
        <v>40708</v>
      </c>
      <c r="C34" s="2" t="s">
        <v>30</v>
      </c>
      <c r="D34" s="2" t="n">
        <v>1016754294</v>
      </c>
      <c r="E34" s="2" t="s">
        <v>51</v>
      </c>
      <c r="F34" s="2"/>
      <c r="G34" s="2" t="s">
        <v>20</v>
      </c>
      <c r="H34" s="2" t="s">
        <v>21</v>
      </c>
      <c r="I34" s="2"/>
      <c r="J34" s="2" t="s">
        <v>104</v>
      </c>
      <c r="K34" s="2"/>
      <c r="L34" s="2" t="s">
        <v>24</v>
      </c>
      <c r="M34" s="2" t="s">
        <v>105</v>
      </c>
      <c r="N34" s="2" t="n">
        <v>7990087</v>
      </c>
      <c r="O34" s="2" t="s">
        <v>26</v>
      </c>
      <c r="P34" s="2" t="s">
        <v>27</v>
      </c>
      <c r="Q34" s="2" t="n">
        <v>28</v>
      </c>
    </row>
    <row r="35" customFormat="false" ht="15" hidden="false" customHeight="false" outlineLevel="0" collapsed="false">
      <c r="A35" s="2" t="n">
        <v>7770629</v>
      </c>
      <c r="B35" s="3" t="n">
        <v>40808</v>
      </c>
      <c r="C35" s="2" t="s">
        <v>106</v>
      </c>
      <c r="D35" s="2" t="n">
        <v>1017605614</v>
      </c>
      <c r="E35" s="2" t="s">
        <v>51</v>
      </c>
      <c r="F35" s="2"/>
      <c r="G35" s="2" t="s">
        <v>20</v>
      </c>
      <c r="H35" s="2" t="s">
        <v>21</v>
      </c>
      <c r="I35" s="2"/>
      <c r="J35" s="2"/>
      <c r="K35" s="2"/>
      <c r="L35" s="2"/>
      <c r="M35" s="2" t="s">
        <v>107</v>
      </c>
      <c r="N35" s="2" t="n">
        <v>8150593</v>
      </c>
      <c r="O35" s="2" t="s">
        <v>26</v>
      </c>
      <c r="P35" s="2" t="s">
        <v>27</v>
      </c>
      <c r="Q35" s="2" t="s">
        <v>33</v>
      </c>
    </row>
    <row r="36" customFormat="false" ht="15" hidden="false" customHeight="false" outlineLevel="0" collapsed="false">
      <c r="A36" s="2" t="n">
        <v>7991741</v>
      </c>
      <c r="B36" s="3" t="n">
        <v>40896</v>
      </c>
      <c r="C36" s="2" t="s">
        <v>17</v>
      </c>
      <c r="D36" s="2" t="n">
        <v>1018325842</v>
      </c>
      <c r="E36" s="2" t="s">
        <v>18</v>
      </c>
      <c r="F36" s="2" t="s">
        <v>19</v>
      </c>
      <c r="G36" s="2" t="s">
        <v>20</v>
      </c>
      <c r="H36" s="2" t="s">
        <v>21</v>
      </c>
      <c r="I36" s="2"/>
      <c r="J36" s="2" t="s">
        <v>108</v>
      </c>
      <c r="K36" s="2" t="n">
        <v>200</v>
      </c>
      <c r="L36" s="2" t="s">
        <v>24</v>
      </c>
      <c r="M36" s="2" t="s">
        <v>109</v>
      </c>
      <c r="N36" s="2" t="n">
        <v>8299808</v>
      </c>
      <c r="O36" s="2" t="s">
        <v>37</v>
      </c>
      <c r="P36" s="2" t="s">
        <v>27</v>
      </c>
      <c r="Q36" s="2" t="n">
        <v>50</v>
      </c>
    </row>
    <row r="37" customFormat="false" ht="15" hidden="false" customHeight="false" outlineLevel="0" collapsed="false">
      <c r="A37" s="2" t="n">
        <v>8033407</v>
      </c>
      <c r="B37" s="3" t="n">
        <v>40918</v>
      </c>
      <c r="C37" s="2" t="s">
        <v>17</v>
      </c>
      <c r="D37" s="2" t="n">
        <v>1018482558</v>
      </c>
      <c r="E37" s="2" t="s">
        <v>18</v>
      </c>
      <c r="F37" s="2" t="s">
        <v>19</v>
      </c>
      <c r="G37" s="2" t="s">
        <v>20</v>
      </c>
      <c r="H37" s="2" t="s">
        <v>21</v>
      </c>
      <c r="I37" s="2" t="s">
        <v>22</v>
      </c>
      <c r="J37" s="2" t="s">
        <v>110</v>
      </c>
      <c r="K37" s="2"/>
      <c r="L37" s="2" t="s">
        <v>24</v>
      </c>
      <c r="M37" s="2" t="s">
        <v>111</v>
      </c>
      <c r="N37" s="2" t="n">
        <v>8319476</v>
      </c>
      <c r="O37" s="2" t="s">
        <v>26</v>
      </c>
      <c r="P37" s="2" t="s">
        <v>27</v>
      </c>
      <c r="Q37" s="2" t="n">
        <v>34</v>
      </c>
    </row>
    <row r="38" customFormat="false" ht="15" hidden="false" customHeight="false" outlineLevel="0" collapsed="false">
      <c r="A38" s="2" t="n">
        <v>8429201</v>
      </c>
      <c r="B38" s="3" t="n">
        <v>41072</v>
      </c>
      <c r="C38" s="2" t="s">
        <v>30</v>
      </c>
      <c r="D38" s="2" t="n">
        <v>1019941090</v>
      </c>
      <c r="E38" s="2" t="s">
        <v>18</v>
      </c>
      <c r="F38" s="2" t="s">
        <v>19</v>
      </c>
      <c r="G38" s="2" t="s">
        <v>20</v>
      </c>
      <c r="H38" s="2" t="s">
        <v>21</v>
      </c>
      <c r="I38" s="2" t="s">
        <v>22</v>
      </c>
      <c r="J38" s="2" t="s">
        <v>112</v>
      </c>
      <c r="K38" s="2" t="n">
        <v>325</v>
      </c>
      <c r="L38" s="2" t="s">
        <v>24</v>
      </c>
      <c r="M38" s="2" t="s">
        <v>113</v>
      </c>
      <c r="N38" s="2" t="n">
        <v>8560432</v>
      </c>
      <c r="O38" s="2" t="s">
        <v>26</v>
      </c>
      <c r="P38" s="2" t="s">
        <v>41</v>
      </c>
      <c r="Q38" s="2" t="n">
        <v>31</v>
      </c>
    </row>
    <row r="39" customFormat="false" ht="15" hidden="false" customHeight="false" outlineLevel="0" collapsed="false">
      <c r="A39" s="2" t="n">
        <v>8488617</v>
      </c>
      <c r="B39" s="3" t="n">
        <v>41095</v>
      </c>
      <c r="C39" s="2" t="s">
        <v>17</v>
      </c>
      <c r="D39" s="2" t="n">
        <v>1020168347</v>
      </c>
      <c r="E39" s="2" t="s">
        <v>18</v>
      </c>
      <c r="F39" s="2" t="s">
        <v>19</v>
      </c>
      <c r="G39" s="2" t="s">
        <v>20</v>
      </c>
      <c r="H39" s="2" t="s">
        <v>21</v>
      </c>
      <c r="I39" s="2"/>
      <c r="J39" s="2" t="s">
        <v>114</v>
      </c>
      <c r="K39" s="2"/>
      <c r="L39" s="2"/>
      <c r="M39" s="2" t="s">
        <v>115</v>
      </c>
      <c r="N39" s="2" t="n">
        <v>8613910</v>
      </c>
      <c r="O39" s="2" t="s">
        <v>26</v>
      </c>
      <c r="P39" s="2" t="s">
        <v>27</v>
      </c>
      <c r="Q39" s="2" t="s">
        <v>33</v>
      </c>
    </row>
    <row r="40" customFormat="false" ht="15" hidden="false" customHeight="false" outlineLevel="0" collapsed="false">
      <c r="A40" s="2" t="n">
        <v>87764713</v>
      </c>
      <c r="B40" s="3" t="n">
        <v>41190</v>
      </c>
      <c r="C40" s="2" t="s">
        <v>30</v>
      </c>
      <c r="D40" s="2" t="n">
        <v>877647131</v>
      </c>
      <c r="E40" s="2" t="s">
        <v>18</v>
      </c>
      <c r="F40" s="2" t="s">
        <v>19</v>
      </c>
      <c r="G40" s="2" t="s">
        <v>20</v>
      </c>
      <c r="H40" s="2" t="s">
        <v>21</v>
      </c>
      <c r="I40" s="2" t="s">
        <v>22</v>
      </c>
      <c r="J40" s="2" t="s">
        <v>116</v>
      </c>
      <c r="K40" s="2"/>
      <c r="L40" s="2" t="s">
        <v>24</v>
      </c>
      <c r="M40" s="2" t="s">
        <v>117</v>
      </c>
      <c r="N40" s="2" t="n">
        <v>8776471</v>
      </c>
      <c r="O40" s="2" t="s">
        <v>26</v>
      </c>
      <c r="P40" s="2" t="s">
        <v>118</v>
      </c>
      <c r="Q40" s="2" t="n">
        <v>25</v>
      </c>
    </row>
    <row r="41" customFormat="false" ht="15" hidden="false" customHeight="false" outlineLevel="0" collapsed="false">
      <c r="A41" s="2" t="n">
        <v>87812942</v>
      </c>
      <c r="B41" s="3" t="n">
        <v>41165</v>
      </c>
      <c r="C41" s="2" t="s">
        <v>30</v>
      </c>
      <c r="D41" s="2" t="n">
        <v>878129421</v>
      </c>
      <c r="E41" s="2" t="s">
        <v>18</v>
      </c>
      <c r="F41" s="2" t="s">
        <v>19</v>
      </c>
      <c r="G41" s="2" t="s">
        <v>20</v>
      </c>
      <c r="H41" s="2" t="s">
        <v>21</v>
      </c>
      <c r="I41" s="2" t="s">
        <v>22</v>
      </c>
      <c r="J41" s="2"/>
      <c r="K41" s="2"/>
      <c r="L41" s="2" t="s">
        <v>24</v>
      </c>
      <c r="M41" s="2" t="s">
        <v>119</v>
      </c>
      <c r="N41" s="2" t="n">
        <v>8781294</v>
      </c>
      <c r="O41" s="2" t="s">
        <v>37</v>
      </c>
      <c r="P41" s="2" t="s">
        <v>118</v>
      </c>
      <c r="Q41" s="2" t="n">
        <v>45</v>
      </c>
    </row>
    <row r="42" customFormat="false" ht="15" hidden="false" customHeight="false" outlineLevel="0" collapsed="false">
      <c r="A42" s="2" t="n">
        <v>88310851</v>
      </c>
      <c r="B42" s="3" t="n">
        <v>41191</v>
      </c>
      <c r="C42" s="2" t="s">
        <v>30</v>
      </c>
      <c r="D42" s="2" t="n">
        <v>883108511</v>
      </c>
      <c r="E42" s="2" t="s">
        <v>18</v>
      </c>
      <c r="F42" s="2" t="s">
        <v>19</v>
      </c>
      <c r="G42" s="2" t="s">
        <v>20</v>
      </c>
      <c r="H42" s="2" t="s">
        <v>21</v>
      </c>
      <c r="I42" s="2" t="s">
        <v>22</v>
      </c>
      <c r="J42" s="2" t="s">
        <v>120</v>
      </c>
      <c r="K42" s="2" t="n">
        <v>200</v>
      </c>
      <c r="L42" s="2" t="s">
        <v>24</v>
      </c>
      <c r="M42" s="2" t="s">
        <v>121</v>
      </c>
      <c r="N42" s="2" t="n">
        <v>8831085</v>
      </c>
      <c r="O42" s="2" t="s">
        <v>26</v>
      </c>
      <c r="P42" s="2" t="s">
        <v>122</v>
      </c>
      <c r="Q42" s="2" t="s">
        <v>33</v>
      </c>
    </row>
    <row r="43" customFormat="false" ht="15" hidden="false" customHeight="false" outlineLevel="0" collapsed="false">
      <c r="A43" s="2" t="n">
        <v>97979424</v>
      </c>
      <c r="B43" s="3" t="n">
        <v>41670</v>
      </c>
      <c r="C43" s="2" t="s">
        <v>30</v>
      </c>
      <c r="D43" s="2" t="n">
        <v>979794241</v>
      </c>
      <c r="E43" s="2" t="s">
        <v>18</v>
      </c>
      <c r="F43" s="2" t="s">
        <v>19</v>
      </c>
      <c r="G43" s="2" t="s">
        <v>20</v>
      </c>
      <c r="H43" s="2" t="s">
        <v>21</v>
      </c>
      <c r="I43" s="2"/>
      <c r="J43" s="2" t="s">
        <v>123</v>
      </c>
      <c r="K43" s="2" t="n">
        <v>175</v>
      </c>
      <c r="L43" s="2" t="s">
        <v>24</v>
      </c>
      <c r="M43" s="2" t="s">
        <v>124</v>
      </c>
      <c r="N43" s="2" t="n">
        <v>9797942</v>
      </c>
      <c r="O43" s="2" t="s">
        <v>26</v>
      </c>
      <c r="P43" s="2" t="s">
        <v>118</v>
      </c>
      <c r="Q43" s="2" t="s">
        <v>33</v>
      </c>
    </row>
    <row r="44" customFormat="false" ht="15" hidden="false" customHeight="false" outlineLevel="0" collapsed="false">
      <c r="A44" s="2" t="n">
        <v>126647621</v>
      </c>
      <c r="B44" s="3" t="n">
        <v>42600</v>
      </c>
      <c r="C44" s="2" t="s">
        <v>30</v>
      </c>
      <c r="D44" s="2" t="n">
        <v>1266476211</v>
      </c>
      <c r="E44" s="2" t="s">
        <v>51</v>
      </c>
      <c r="F44" s="2"/>
      <c r="G44" s="2" t="s">
        <v>20</v>
      </c>
      <c r="H44" s="2" t="s">
        <v>125</v>
      </c>
      <c r="I44" s="2" t="s">
        <v>126</v>
      </c>
      <c r="J44" s="2"/>
      <c r="K44" s="2"/>
      <c r="L44" s="2" t="s">
        <v>127</v>
      </c>
      <c r="M44" s="2" t="s">
        <v>128</v>
      </c>
      <c r="N44" s="2" t="n">
        <v>12664762</v>
      </c>
      <c r="O44" s="2" t="s">
        <v>26</v>
      </c>
      <c r="P44" s="2" t="s">
        <v>118</v>
      </c>
      <c r="Q44" s="2" t="s">
        <v>33</v>
      </c>
    </row>
    <row r="45" customFormat="false" ht="15" hidden="false" customHeight="false" outlineLevel="0" collapsed="false">
      <c r="A45" s="2" t="n">
        <v>145781652</v>
      </c>
      <c r="B45" s="3" t="n">
        <v>43172</v>
      </c>
      <c r="C45" s="2" t="s">
        <v>30</v>
      </c>
      <c r="D45" s="2" t="n">
        <v>145781652100</v>
      </c>
      <c r="E45" s="2" t="s">
        <v>18</v>
      </c>
      <c r="F45" s="2" t="s">
        <v>19</v>
      </c>
      <c r="G45" s="2" t="s">
        <v>20</v>
      </c>
      <c r="H45" s="2" t="s">
        <v>21</v>
      </c>
      <c r="I45" s="2" t="s">
        <v>129</v>
      </c>
      <c r="J45" s="2" t="s">
        <v>130</v>
      </c>
      <c r="K45" s="2"/>
      <c r="L45" s="2" t="s">
        <v>24</v>
      </c>
      <c r="M45" s="2" t="s">
        <v>131</v>
      </c>
      <c r="N45" s="2" t="n">
        <v>14578165</v>
      </c>
      <c r="O45" s="2" t="s">
        <v>26</v>
      </c>
      <c r="P45" s="2" t="s">
        <v>118</v>
      </c>
      <c r="Q45" s="2" t="n">
        <v>20</v>
      </c>
    </row>
    <row r="46" customFormat="false" ht="15" hidden="false" customHeight="false" outlineLevel="0" collapsed="false">
      <c r="A46" s="2" t="n">
        <v>145925203</v>
      </c>
      <c r="B46" s="3" t="n">
        <v>43452</v>
      </c>
      <c r="C46" s="2" t="s">
        <v>34</v>
      </c>
      <c r="D46" s="2" t="n">
        <v>1459252031</v>
      </c>
      <c r="E46" s="2" t="s">
        <v>51</v>
      </c>
      <c r="F46" s="2"/>
      <c r="G46" s="2" t="s">
        <v>20</v>
      </c>
      <c r="H46" s="2" t="s">
        <v>21</v>
      </c>
      <c r="I46" s="2" t="s">
        <v>129</v>
      </c>
      <c r="J46" s="2" t="s">
        <v>132</v>
      </c>
      <c r="K46" s="2"/>
      <c r="L46" s="2" t="s">
        <v>24</v>
      </c>
      <c r="M46" s="2" t="s">
        <v>133</v>
      </c>
      <c r="N46" s="2" t="n">
        <v>14592520</v>
      </c>
      <c r="O46" s="2" t="s">
        <v>37</v>
      </c>
      <c r="P46" s="2" t="s">
        <v>118</v>
      </c>
      <c r="Q46" s="2" t="n">
        <v>51</v>
      </c>
    </row>
    <row r="47" customFormat="false" ht="15" hidden="false" customHeight="false" outlineLevel="0" collapsed="false">
      <c r="A47" s="2" t="n">
        <v>147344992</v>
      </c>
      <c r="B47" s="3" t="n">
        <v>43227</v>
      </c>
      <c r="C47" s="2" t="s">
        <v>30</v>
      </c>
      <c r="D47" s="2" t="n">
        <v>1473449921</v>
      </c>
      <c r="E47" s="2" t="s">
        <v>51</v>
      </c>
      <c r="F47" s="2"/>
      <c r="G47" s="2" t="s">
        <v>20</v>
      </c>
      <c r="H47" s="2" t="s">
        <v>21</v>
      </c>
      <c r="I47" s="2"/>
      <c r="J47" s="2" t="s">
        <v>134</v>
      </c>
      <c r="K47" s="2"/>
      <c r="L47" s="2" t="s">
        <v>24</v>
      </c>
      <c r="M47" s="2" t="s">
        <v>135</v>
      </c>
      <c r="N47" s="2" t="n">
        <v>14734499</v>
      </c>
      <c r="O47" s="2" t="s">
        <v>26</v>
      </c>
      <c r="P47" s="2" t="s">
        <v>118</v>
      </c>
      <c r="Q47" s="2" t="s">
        <v>33</v>
      </c>
    </row>
    <row r="48" customFormat="false" ht="15" hidden="false" customHeight="false" outlineLevel="0" collapsed="false">
      <c r="A48" s="2" t="n">
        <v>158586251</v>
      </c>
      <c r="B48" s="3" t="n">
        <v>43488</v>
      </c>
      <c r="C48" s="2" t="s">
        <v>30</v>
      </c>
      <c r="D48" s="2" t="n">
        <v>1585862512</v>
      </c>
      <c r="E48" s="2" t="s">
        <v>51</v>
      </c>
      <c r="F48" s="2"/>
      <c r="G48" s="2" t="s">
        <v>20</v>
      </c>
      <c r="H48" s="2" t="s">
        <v>125</v>
      </c>
      <c r="I48" s="2" t="s">
        <v>129</v>
      </c>
      <c r="J48" s="2" t="s">
        <v>136</v>
      </c>
      <c r="K48" s="2"/>
      <c r="L48" s="2" t="s">
        <v>24</v>
      </c>
      <c r="M48" s="2" t="s">
        <v>137</v>
      </c>
      <c r="N48" s="2" t="n">
        <v>15858625</v>
      </c>
      <c r="O48" s="2" t="s">
        <v>26</v>
      </c>
      <c r="P48" s="2" t="s">
        <v>118</v>
      </c>
      <c r="Q48" s="2" t="n">
        <v>30</v>
      </c>
    </row>
    <row r="49" customFormat="false" ht="15" hidden="false" customHeight="false" outlineLevel="0" collapsed="false">
      <c r="A49" s="2" t="n">
        <v>158841464</v>
      </c>
      <c r="B49" s="3" t="n">
        <v>43552</v>
      </c>
      <c r="C49" s="2" t="s">
        <v>30</v>
      </c>
      <c r="D49" s="2" t="n">
        <v>1588414641</v>
      </c>
      <c r="E49" s="2" t="s">
        <v>51</v>
      </c>
      <c r="F49" s="2"/>
      <c r="G49" s="2" t="s">
        <v>20</v>
      </c>
      <c r="H49" s="2" t="s">
        <v>21</v>
      </c>
      <c r="I49" s="2" t="s">
        <v>129</v>
      </c>
      <c r="J49" s="2" t="s">
        <v>138</v>
      </c>
      <c r="K49" s="2"/>
      <c r="L49" s="2" t="s">
        <v>24</v>
      </c>
      <c r="M49" s="2" t="s">
        <v>139</v>
      </c>
      <c r="N49" s="2" t="n">
        <v>15884146</v>
      </c>
      <c r="O49" s="2" t="s">
        <v>26</v>
      </c>
      <c r="P49" s="2" t="s">
        <v>118</v>
      </c>
      <c r="Q49" s="2" t="n">
        <v>38</v>
      </c>
    </row>
    <row r="50" customFormat="false" ht="15" hidden="false" customHeight="false" outlineLevel="0" collapsed="false">
      <c r="A50" s="2" t="n">
        <v>161496811</v>
      </c>
      <c r="B50" s="3" t="n">
        <v>43557</v>
      </c>
      <c r="C50" s="2" t="s">
        <v>30</v>
      </c>
      <c r="D50" s="2" t="n">
        <v>1614968111</v>
      </c>
      <c r="E50" s="2" t="s">
        <v>51</v>
      </c>
      <c r="F50" s="2"/>
      <c r="G50" s="2" t="s">
        <v>20</v>
      </c>
      <c r="H50" s="2" t="s">
        <v>21</v>
      </c>
      <c r="I50" s="2" t="s">
        <v>129</v>
      </c>
      <c r="J50" s="2" t="s">
        <v>140</v>
      </c>
      <c r="K50" s="2"/>
      <c r="L50" s="2" t="s">
        <v>24</v>
      </c>
      <c r="M50" s="2" t="s">
        <v>141</v>
      </c>
      <c r="N50" s="2" t="n">
        <v>16149681</v>
      </c>
      <c r="O50" s="2" t="s">
        <v>26</v>
      </c>
      <c r="P50" s="2" t="s">
        <v>118</v>
      </c>
      <c r="Q50" s="2" t="s">
        <v>33</v>
      </c>
    </row>
    <row r="51" customFormat="false" ht="15" hidden="false" customHeight="false" outlineLevel="0" collapsed="false">
      <c r="A51" s="2" t="n">
        <v>180454804</v>
      </c>
      <c r="B51" s="3" t="n">
        <v>44176</v>
      </c>
      <c r="C51" s="2" t="s">
        <v>17</v>
      </c>
      <c r="D51" s="2" t="n">
        <v>180454804100</v>
      </c>
      <c r="E51" s="2" t="s">
        <v>18</v>
      </c>
      <c r="F51" s="2" t="s">
        <v>19</v>
      </c>
      <c r="G51" s="2" t="s">
        <v>20</v>
      </c>
      <c r="H51" s="2" t="s">
        <v>21</v>
      </c>
      <c r="I51" s="2" t="s">
        <v>129</v>
      </c>
      <c r="J51" s="2" t="s">
        <v>142</v>
      </c>
      <c r="K51" s="2"/>
      <c r="L51" s="2" t="s">
        <v>24</v>
      </c>
      <c r="M51" s="2" t="s">
        <v>143</v>
      </c>
      <c r="N51" s="2" t="n">
        <v>18045480</v>
      </c>
      <c r="O51" s="2" t="s">
        <v>26</v>
      </c>
      <c r="P51" s="2" t="s">
        <v>118</v>
      </c>
      <c r="Q51" s="2" t="n">
        <v>30</v>
      </c>
    </row>
    <row r="52" customFormat="false" ht="15" hidden="false" customHeight="false" outlineLevel="0" collapsed="false">
      <c r="A52" s="2" t="n">
        <v>195534073</v>
      </c>
      <c r="B52" s="3" t="n">
        <v>44405</v>
      </c>
      <c r="C52" s="2" t="s">
        <v>30</v>
      </c>
      <c r="D52" s="2" t="n">
        <v>195534073100</v>
      </c>
      <c r="E52" s="2" t="s">
        <v>18</v>
      </c>
      <c r="F52" s="2" t="s">
        <v>19</v>
      </c>
      <c r="G52" s="2" t="s">
        <v>20</v>
      </c>
      <c r="H52" s="2" t="s">
        <v>21</v>
      </c>
      <c r="I52" s="2" t="s">
        <v>129</v>
      </c>
      <c r="J52" s="2" t="s">
        <v>89</v>
      </c>
      <c r="K52" s="2"/>
      <c r="L52" s="2" t="s">
        <v>24</v>
      </c>
      <c r="M52" s="2" t="s">
        <v>144</v>
      </c>
      <c r="N52" s="2" t="n">
        <v>19553407</v>
      </c>
      <c r="O52" s="2" t="s">
        <v>26</v>
      </c>
      <c r="P52" s="2" t="s">
        <v>118</v>
      </c>
      <c r="Q52" s="2" t="n">
        <v>47</v>
      </c>
    </row>
    <row r="53" customFormat="false" ht="15" hidden="false" customHeight="false" outlineLevel="0" collapsed="false">
      <c r="A53" s="2" t="n">
        <v>211959223</v>
      </c>
      <c r="B53" s="3" t="n">
        <v>45103</v>
      </c>
      <c r="C53" s="2" t="s">
        <v>30</v>
      </c>
      <c r="D53" s="2" t="n">
        <v>211959223100</v>
      </c>
      <c r="E53" s="2" t="s">
        <v>18</v>
      </c>
      <c r="F53" s="2" t="s">
        <v>19</v>
      </c>
      <c r="G53" s="2" t="s">
        <v>20</v>
      </c>
      <c r="H53" s="2" t="s">
        <v>21</v>
      </c>
      <c r="I53" s="2" t="s">
        <v>126</v>
      </c>
      <c r="J53" s="2" t="s">
        <v>89</v>
      </c>
      <c r="K53" s="2"/>
      <c r="L53" s="2" t="s">
        <v>24</v>
      </c>
      <c r="M53" s="2" t="s">
        <v>145</v>
      </c>
      <c r="N53" s="2" t="n">
        <v>21195922</v>
      </c>
      <c r="O53" s="2" t="s">
        <v>26</v>
      </c>
      <c r="P53" s="2" t="s">
        <v>118</v>
      </c>
      <c r="Q53" s="2" t="s">
        <v>33</v>
      </c>
    </row>
    <row r="54" customFormat="false" ht="15" hidden="false" customHeight="false" outlineLevel="0" collapsed="false">
      <c r="A54" s="2" t="n">
        <v>213596031</v>
      </c>
      <c r="B54" s="3" t="n">
        <v>44825</v>
      </c>
      <c r="C54" s="2" t="s">
        <v>30</v>
      </c>
      <c r="D54" s="2" t="n">
        <v>213596031200</v>
      </c>
      <c r="E54" s="2" t="s">
        <v>51</v>
      </c>
      <c r="F54" s="2"/>
      <c r="G54" s="2" t="s">
        <v>20</v>
      </c>
      <c r="H54" s="2" t="s">
        <v>125</v>
      </c>
      <c r="I54" s="2"/>
      <c r="J54" s="2"/>
      <c r="K54" s="2"/>
      <c r="L54" s="2" t="s">
        <v>24</v>
      </c>
      <c r="M54" s="2" t="s">
        <v>146</v>
      </c>
      <c r="N54" s="2" t="n">
        <v>21359603</v>
      </c>
      <c r="O54" s="2" t="s">
        <v>37</v>
      </c>
      <c r="P54" s="2" t="s">
        <v>118</v>
      </c>
      <c r="Q54" s="2" t="n">
        <v>48</v>
      </c>
    </row>
    <row r="55" customFormat="false" ht="15" hidden="false" customHeight="false" outlineLevel="0" collapsed="false">
      <c r="A55" s="2" t="n">
        <v>217417551</v>
      </c>
      <c r="B55" s="3" t="n">
        <v>44911</v>
      </c>
      <c r="C55" s="2" t="s">
        <v>34</v>
      </c>
      <c r="D55" s="2" t="n">
        <v>217417551100</v>
      </c>
      <c r="E55" s="2" t="s">
        <v>51</v>
      </c>
      <c r="F55" s="2"/>
      <c r="G55" s="2" t="s">
        <v>20</v>
      </c>
      <c r="H55" s="2" t="s">
        <v>125</v>
      </c>
      <c r="I55" s="2"/>
      <c r="J55" s="2" t="s">
        <v>89</v>
      </c>
      <c r="K55" s="2"/>
      <c r="L55" s="2" t="s">
        <v>24</v>
      </c>
      <c r="M55" s="2" t="s">
        <v>147</v>
      </c>
      <c r="N55" s="2" t="n">
        <v>21741755</v>
      </c>
      <c r="O55" s="2" t="s">
        <v>37</v>
      </c>
      <c r="P55" s="2" t="s">
        <v>118</v>
      </c>
      <c r="Q55" s="2" t="n">
        <v>58</v>
      </c>
    </row>
    <row r="56" customFormat="false" ht="15" hidden="false" customHeight="false" outlineLevel="0" collapsed="false">
      <c r="A56" s="2" t="n">
        <v>235923411</v>
      </c>
      <c r="B56" s="3" t="n">
        <v>45355</v>
      </c>
      <c r="C56" s="2" t="s">
        <v>17</v>
      </c>
      <c r="D56" s="2" t="n">
        <v>235923411100</v>
      </c>
      <c r="E56" s="2" t="s">
        <v>18</v>
      </c>
      <c r="F56" s="2" t="s">
        <v>19</v>
      </c>
      <c r="G56" s="2" t="s">
        <v>20</v>
      </c>
      <c r="H56" s="2" t="s">
        <v>21</v>
      </c>
      <c r="I56" s="2" t="s">
        <v>129</v>
      </c>
      <c r="J56" s="2" t="s">
        <v>89</v>
      </c>
      <c r="K56" s="2"/>
      <c r="L56" s="2" t="s">
        <v>24</v>
      </c>
      <c r="M56" s="2" t="s">
        <v>148</v>
      </c>
      <c r="N56" s="2" t="n">
        <v>23592341</v>
      </c>
      <c r="O56" s="2" t="s">
        <v>37</v>
      </c>
      <c r="P56" s="2" t="s">
        <v>118</v>
      </c>
      <c r="Q56" s="2" t="n">
        <v>71</v>
      </c>
    </row>
    <row r="57" customFormat="false" ht="15" hidden="false" customHeight="false" outlineLevel="0" collapsed="false">
      <c r="A57" s="2" t="n">
        <v>236310311</v>
      </c>
      <c r="B57" s="3" t="n">
        <v>45365</v>
      </c>
      <c r="C57" s="2" t="s">
        <v>30</v>
      </c>
      <c r="D57" s="2" t="n">
        <v>236310311200</v>
      </c>
      <c r="E57" s="2" t="s">
        <v>51</v>
      </c>
      <c r="F57" s="2"/>
      <c r="G57" s="2" t="s">
        <v>20</v>
      </c>
      <c r="H57" s="2" t="s">
        <v>125</v>
      </c>
      <c r="I57" s="2" t="s">
        <v>129</v>
      </c>
      <c r="J57" s="2"/>
      <c r="K57" s="2"/>
      <c r="L57" s="2" t="s">
        <v>24</v>
      </c>
      <c r="M57" s="2" t="s">
        <v>146</v>
      </c>
      <c r="N57" s="2" t="n">
        <v>23631031</v>
      </c>
      <c r="O57" s="2" t="s">
        <v>37</v>
      </c>
      <c r="P57" s="2" t="s">
        <v>118</v>
      </c>
      <c r="Q57" s="2" t="n">
        <v>48</v>
      </c>
    </row>
  </sheetData>
  <autoFilter ref="A1:Q5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8"/>
    <col collapsed="false" customWidth="true" hidden="false" outlineLevel="0" max="5" min="4" style="0" width="13"/>
    <col collapsed="false" customWidth="true" hidden="false" outlineLevel="0" max="6" min="6" style="0" width="16"/>
    <col collapsed="false" customWidth="true" hidden="false" outlineLevel="0" max="7" min="7" style="0" width="22"/>
    <col collapsed="false" customWidth="true" hidden="false" outlineLevel="0" max="8" min="8" style="0" width="52"/>
  </cols>
  <sheetData>
    <row r="1" customFormat="false" ht="30" hidden="false" customHeight="true" outlineLevel="0" collapsed="false">
      <c r="A1" s="1" t="s">
        <v>13</v>
      </c>
      <c r="B1" s="1" t="s">
        <v>149</v>
      </c>
      <c r="C1" s="1" t="s">
        <v>150</v>
      </c>
      <c r="D1" s="1" t="s">
        <v>151</v>
      </c>
      <c r="E1" s="1" t="s">
        <v>152</v>
      </c>
      <c r="F1" s="1" t="s">
        <v>153</v>
      </c>
      <c r="G1" s="1" t="s">
        <v>154</v>
      </c>
      <c r="H1" s="1" t="s">
        <v>155</v>
      </c>
    </row>
    <row r="2" customFormat="false" ht="15" hidden="false" customHeight="false" outlineLevel="0" collapsed="false">
      <c r="A2" s="2" t="n">
        <v>3506037</v>
      </c>
      <c r="B2" s="2" t="n">
        <v>5509945</v>
      </c>
      <c r="C2" s="2" t="n">
        <v>2</v>
      </c>
      <c r="D2" s="2" t="n">
        <v>3</v>
      </c>
      <c r="E2" s="2" t="n">
        <v>2</v>
      </c>
      <c r="F2" s="2" t="n">
        <v>1009131184</v>
      </c>
      <c r="G2" s="2" t="s">
        <v>21</v>
      </c>
      <c r="H2" s="2" t="s">
        <v>156</v>
      </c>
    </row>
    <row r="3" customFormat="false" ht="15" hidden="false" customHeight="false" outlineLevel="0" collapsed="false">
      <c r="A3" s="2" t="n">
        <v>3624188</v>
      </c>
      <c r="B3" s="2" t="n">
        <v>5134401</v>
      </c>
      <c r="C3" s="2" t="n">
        <v>2</v>
      </c>
      <c r="D3" s="2" t="n">
        <v>4</v>
      </c>
      <c r="E3" s="2" t="n">
        <v>3</v>
      </c>
      <c r="F3" s="2" t="n">
        <v>1007785767</v>
      </c>
      <c r="G3" s="2" t="s">
        <v>21</v>
      </c>
      <c r="H3" s="2" t="s">
        <v>156</v>
      </c>
    </row>
    <row r="4" customFormat="false" ht="15" hidden="false" customHeight="false" outlineLevel="0" collapsed="false">
      <c r="A4" s="2" t="n">
        <v>4100316</v>
      </c>
      <c r="B4" s="2" t="n">
        <v>4325437</v>
      </c>
      <c r="C4" s="2" t="n">
        <v>2</v>
      </c>
      <c r="D4" s="2" t="n">
        <v>2</v>
      </c>
      <c r="E4" s="2" t="n">
        <v>1</v>
      </c>
      <c r="F4" s="2" t="n">
        <v>1004740750</v>
      </c>
      <c r="G4" s="2" t="s">
        <v>21</v>
      </c>
      <c r="H4" s="2" t="s">
        <v>156</v>
      </c>
    </row>
    <row r="5" customFormat="false" ht="15" hidden="false" customHeight="false" outlineLevel="0" collapsed="false">
      <c r="A5" s="2" t="n">
        <v>4131808</v>
      </c>
      <c r="B5" s="2" t="n">
        <v>5243890</v>
      </c>
      <c r="C5" s="2" t="n">
        <v>3</v>
      </c>
      <c r="D5" s="2" t="n">
        <v>3</v>
      </c>
      <c r="E5" s="2" t="n">
        <v>2</v>
      </c>
      <c r="F5" s="2" t="n">
        <v>1008171677</v>
      </c>
      <c r="G5" s="2" t="s">
        <v>21</v>
      </c>
      <c r="H5" s="2" t="s">
        <v>156</v>
      </c>
    </row>
    <row r="6" customFormat="false" ht="15" hidden="false" customHeight="false" outlineLevel="0" collapsed="false">
      <c r="A6" s="2" t="n">
        <v>5793242</v>
      </c>
      <c r="B6" s="2" t="n">
        <v>5156100</v>
      </c>
      <c r="C6" s="2" t="n">
        <v>4</v>
      </c>
      <c r="D6" s="2" t="n">
        <v>4</v>
      </c>
      <c r="E6" s="2" t="n">
        <v>3</v>
      </c>
      <c r="F6" s="2" t="n">
        <v>1007874039</v>
      </c>
      <c r="G6" s="2" t="s">
        <v>21</v>
      </c>
      <c r="H6" s="2" t="s">
        <v>156</v>
      </c>
    </row>
    <row r="7" customFormat="false" ht="15" hidden="false" customHeight="false" outlineLevel="0" collapsed="false">
      <c r="A7" s="2" t="n">
        <v>5800586</v>
      </c>
      <c r="B7" s="2" t="n">
        <v>4778329</v>
      </c>
      <c r="C7" s="2" t="n">
        <v>4</v>
      </c>
      <c r="D7" s="2" t="n">
        <v>4</v>
      </c>
      <c r="E7" s="2" t="n">
        <v>3</v>
      </c>
      <c r="F7" s="2" t="n">
        <v>1006452397</v>
      </c>
      <c r="G7" s="2" t="s">
        <v>21</v>
      </c>
      <c r="H7" s="2" t="s">
        <v>156</v>
      </c>
    </row>
    <row r="8" customFormat="false" ht="15" hidden="false" customHeight="false" outlineLevel="0" collapsed="false">
      <c r="A8" s="2" t="n">
        <v>5836473</v>
      </c>
      <c r="B8" s="2" t="n">
        <v>4713383</v>
      </c>
      <c r="C8" s="2" t="n">
        <v>1</v>
      </c>
      <c r="D8" s="2" t="n">
        <v>1</v>
      </c>
      <c r="E8" s="2" t="n">
        <v>0</v>
      </c>
      <c r="F8" s="2" t="n">
        <v>1006201374</v>
      </c>
      <c r="G8" s="2" t="s">
        <v>21</v>
      </c>
      <c r="H8" s="2" t="s">
        <v>156</v>
      </c>
    </row>
    <row r="9" customFormat="false" ht="15" hidden="false" customHeight="false" outlineLevel="0" collapsed="false">
      <c r="A9" s="2" t="n">
        <v>5849958</v>
      </c>
      <c r="B9" s="2" t="n">
        <v>4730427</v>
      </c>
      <c r="C9" s="2" t="n">
        <v>1</v>
      </c>
      <c r="D9" s="2" t="n">
        <v>1</v>
      </c>
      <c r="E9" s="2" t="n">
        <v>0</v>
      </c>
      <c r="F9" s="2" t="n">
        <v>1006268877</v>
      </c>
      <c r="G9" s="2" t="s">
        <v>21</v>
      </c>
      <c r="H9" s="2" t="s">
        <v>156</v>
      </c>
    </row>
    <row r="10" customFormat="false" ht="15" hidden="false" customHeight="false" outlineLevel="0" collapsed="false">
      <c r="A10" s="2" t="n">
        <v>5986510</v>
      </c>
      <c r="B10" s="2" t="n">
        <v>4962885</v>
      </c>
      <c r="C10" s="2" t="n">
        <v>4</v>
      </c>
      <c r="D10" s="2" t="n">
        <v>6</v>
      </c>
      <c r="E10" s="2" t="n">
        <v>5</v>
      </c>
      <c r="F10" s="2" t="n">
        <v>1007130608</v>
      </c>
      <c r="G10" s="2" t="s">
        <v>21</v>
      </c>
      <c r="H10" s="2" t="s">
        <v>156</v>
      </c>
    </row>
    <row r="11" customFormat="false" ht="15" hidden="false" customHeight="false" outlineLevel="0" collapsed="false">
      <c r="A11" s="2" t="n">
        <v>5986513</v>
      </c>
      <c r="B11" s="2" t="n">
        <v>4914946</v>
      </c>
      <c r="C11" s="2" t="n">
        <v>1</v>
      </c>
      <c r="D11" s="2" t="n">
        <v>3</v>
      </c>
      <c r="E11" s="2" t="n">
        <v>2</v>
      </c>
      <c r="F11" s="2" t="n">
        <v>1006946882</v>
      </c>
      <c r="G11" s="2" t="s">
        <v>21</v>
      </c>
      <c r="H11" s="2" t="s">
        <v>156</v>
      </c>
    </row>
    <row r="12" customFormat="false" ht="15" hidden="false" customHeight="false" outlineLevel="0" collapsed="false">
      <c r="A12" s="2" t="n">
        <v>5986517</v>
      </c>
      <c r="B12" s="2" t="n">
        <v>4993316</v>
      </c>
      <c r="C12" s="2" t="n">
        <v>2</v>
      </c>
      <c r="D12" s="2" t="n">
        <v>4</v>
      </c>
      <c r="E12" s="2" t="n">
        <v>3</v>
      </c>
      <c r="F12" s="2" t="n">
        <v>1007249371</v>
      </c>
      <c r="G12" s="2" t="s">
        <v>21</v>
      </c>
      <c r="H12" s="2" t="s">
        <v>156</v>
      </c>
    </row>
    <row r="13" customFormat="false" ht="15" hidden="false" customHeight="false" outlineLevel="0" collapsed="false">
      <c r="A13" s="2" t="n">
        <v>6004389</v>
      </c>
      <c r="B13" s="2" t="n">
        <v>4943416</v>
      </c>
      <c r="C13" s="2" t="n">
        <v>1</v>
      </c>
      <c r="D13" s="2" t="n">
        <v>1</v>
      </c>
      <c r="E13" s="2" t="n">
        <v>0</v>
      </c>
      <c r="F13" s="2" t="n">
        <v>1007050255</v>
      </c>
      <c r="G13" s="2" t="s">
        <v>21</v>
      </c>
      <c r="H13" s="2" t="s">
        <v>156</v>
      </c>
    </row>
    <row r="14" customFormat="false" ht="15" hidden="false" customHeight="false" outlineLevel="0" collapsed="false">
      <c r="A14" s="2" t="n">
        <v>6023519</v>
      </c>
      <c r="B14" s="2" t="n">
        <v>5026494</v>
      </c>
      <c r="C14" s="2" t="n">
        <v>1</v>
      </c>
      <c r="D14" s="2" t="n">
        <v>1</v>
      </c>
      <c r="E14" s="2" t="n">
        <v>0</v>
      </c>
      <c r="F14" s="2" t="n">
        <v>1007381968</v>
      </c>
      <c r="G14" s="2" t="s">
        <v>21</v>
      </c>
      <c r="H14" s="2" t="s">
        <v>156</v>
      </c>
    </row>
    <row r="15" customFormat="false" ht="15" hidden="false" customHeight="false" outlineLevel="0" collapsed="false">
      <c r="A15" s="2" t="n">
        <v>6076989</v>
      </c>
      <c r="B15" s="2" t="n">
        <v>5042997</v>
      </c>
      <c r="C15" s="2" t="n">
        <v>1</v>
      </c>
      <c r="D15" s="2" t="n">
        <v>1</v>
      </c>
      <c r="E15" s="2" t="n">
        <v>0</v>
      </c>
      <c r="F15" s="2" t="n">
        <v>1007439527</v>
      </c>
      <c r="G15" s="2" t="s">
        <v>21</v>
      </c>
      <c r="H15" s="2" t="s">
        <v>156</v>
      </c>
    </row>
    <row r="16" customFormat="false" ht="15" hidden="false" customHeight="false" outlineLevel="0" collapsed="false">
      <c r="A16" s="2" t="n">
        <v>6129591</v>
      </c>
      <c r="B16" s="2" t="n">
        <v>5106275</v>
      </c>
      <c r="C16" s="2" t="n">
        <v>2</v>
      </c>
      <c r="D16" s="2" t="n">
        <v>4</v>
      </c>
      <c r="E16" s="2" t="n">
        <v>3</v>
      </c>
      <c r="F16" s="2" t="n">
        <v>1007677802</v>
      </c>
      <c r="G16" s="2" t="s">
        <v>21</v>
      </c>
      <c r="H16" s="2" t="s">
        <v>156</v>
      </c>
    </row>
    <row r="17" customFormat="false" ht="15" hidden="false" customHeight="false" outlineLevel="0" collapsed="false">
      <c r="A17" s="2" t="n">
        <v>6220425</v>
      </c>
      <c r="B17" s="2" t="n">
        <v>5215565</v>
      </c>
      <c r="C17" s="2" t="n">
        <v>1</v>
      </c>
      <c r="D17" s="2" t="n">
        <v>1</v>
      </c>
      <c r="E17" s="2" t="n">
        <v>0</v>
      </c>
      <c r="F17" s="2" t="n">
        <v>1008067568</v>
      </c>
      <c r="G17" s="2" t="s">
        <v>21</v>
      </c>
      <c r="H17" s="2" t="s">
        <v>156</v>
      </c>
    </row>
    <row r="18" customFormat="false" ht="15" hidden="false" customHeight="false" outlineLevel="0" collapsed="false">
      <c r="A18" s="2" t="n">
        <v>6222887</v>
      </c>
      <c r="B18" s="2" t="n">
        <v>5218976</v>
      </c>
      <c r="C18" s="2" t="n">
        <v>1</v>
      </c>
      <c r="D18" s="2" t="n">
        <v>1</v>
      </c>
      <c r="E18" s="2" t="n">
        <v>0</v>
      </c>
      <c r="F18" s="2" t="n">
        <v>1008078315</v>
      </c>
      <c r="G18" s="2" t="s">
        <v>21</v>
      </c>
      <c r="H18" s="2" t="s">
        <v>156</v>
      </c>
    </row>
    <row r="19" customFormat="false" ht="15" hidden="false" customHeight="false" outlineLevel="0" collapsed="false">
      <c r="A19" s="2" t="n">
        <v>6525678</v>
      </c>
      <c r="B19" s="2" t="n">
        <v>5607556</v>
      </c>
      <c r="C19" s="2" t="n">
        <v>2</v>
      </c>
      <c r="D19" s="2" t="n">
        <v>2</v>
      </c>
      <c r="E19" s="2" t="n">
        <v>1</v>
      </c>
      <c r="F19" s="2" t="n">
        <v>1009454897</v>
      </c>
      <c r="G19" s="2" t="s">
        <v>21</v>
      </c>
      <c r="H19" s="2" t="s">
        <v>156</v>
      </c>
    </row>
    <row r="20" customFormat="false" ht="15" hidden="false" customHeight="false" outlineLevel="0" collapsed="false">
      <c r="A20" s="2" t="n">
        <v>6526867</v>
      </c>
      <c r="B20" s="2" t="n">
        <v>5591101</v>
      </c>
      <c r="C20" s="2" t="n">
        <v>1</v>
      </c>
      <c r="D20" s="2" t="n">
        <v>1</v>
      </c>
      <c r="E20" s="2" t="n">
        <v>0</v>
      </c>
      <c r="F20" s="2" t="n">
        <v>1009395414</v>
      </c>
      <c r="G20" s="2" t="s">
        <v>21</v>
      </c>
      <c r="H20" s="2" t="s">
        <v>156</v>
      </c>
    </row>
    <row r="21" customFormat="false" ht="15" hidden="false" customHeight="false" outlineLevel="0" collapsed="false">
      <c r="A21" s="2" t="n">
        <v>6537255</v>
      </c>
      <c r="B21" s="2" t="n">
        <v>7128618</v>
      </c>
      <c r="C21" s="2" t="n">
        <v>3</v>
      </c>
      <c r="D21" s="2" t="n">
        <v>5</v>
      </c>
      <c r="E21" s="2" t="n">
        <v>4</v>
      </c>
      <c r="F21" s="2" t="n">
        <v>1015209772</v>
      </c>
      <c r="G21" s="2" t="s">
        <v>21</v>
      </c>
      <c r="H21" s="2" t="s">
        <v>156</v>
      </c>
    </row>
    <row r="22" customFormat="false" ht="15" hidden="false" customHeight="false" outlineLevel="0" collapsed="false">
      <c r="A22" s="2" t="n">
        <v>6700692</v>
      </c>
      <c r="B22" s="2" t="n">
        <v>5810909</v>
      </c>
      <c r="C22" s="2" t="n">
        <v>1</v>
      </c>
      <c r="D22" s="2" t="n">
        <v>6</v>
      </c>
      <c r="E22" s="2" t="n">
        <v>5</v>
      </c>
      <c r="F22" s="2" t="n">
        <v>1010174833</v>
      </c>
      <c r="G22" s="2" t="s">
        <v>21</v>
      </c>
      <c r="H22" s="2" t="s">
        <v>156</v>
      </c>
    </row>
    <row r="23" customFormat="false" ht="15" hidden="false" customHeight="false" outlineLevel="0" collapsed="false">
      <c r="A23" s="2" t="n">
        <v>6798922</v>
      </c>
      <c r="B23" s="2" t="n">
        <v>5934323</v>
      </c>
      <c r="C23" s="2" t="n">
        <v>1</v>
      </c>
      <c r="D23" s="2" t="n">
        <v>1</v>
      </c>
      <c r="E23" s="2" t="n">
        <v>0</v>
      </c>
      <c r="F23" s="2" t="n">
        <v>1010635345</v>
      </c>
      <c r="G23" s="2" t="s">
        <v>21</v>
      </c>
      <c r="H23" s="2" t="s">
        <v>156</v>
      </c>
    </row>
    <row r="24" customFormat="false" ht="15" hidden="false" customHeight="false" outlineLevel="0" collapsed="false">
      <c r="A24" s="2" t="n">
        <v>6925608</v>
      </c>
      <c r="B24" s="2" t="n">
        <v>6189977</v>
      </c>
      <c r="C24" s="2" t="n">
        <v>2</v>
      </c>
      <c r="D24" s="2" t="n">
        <v>4</v>
      </c>
      <c r="E24" s="2" t="n">
        <v>3</v>
      </c>
      <c r="F24" s="2" t="n">
        <v>1011571787</v>
      </c>
      <c r="G24" s="2" t="s">
        <v>21</v>
      </c>
      <c r="H24" s="2" t="s">
        <v>156</v>
      </c>
    </row>
    <row r="25" customFormat="false" ht="15" hidden="false" customHeight="false" outlineLevel="0" collapsed="false">
      <c r="A25" s="2" t="n">
        <v>6967625</v>
      </c>
      <c r="B25" s="2" t="n">
        <v>6153295</v>
      </c>
      <c r="C25" s="2" t="n">
        <v>1</v>
      </c>
      <c r="D25" s="2" t="n">
        <v>1</v>
      </c>
      <c r="E25" s="2" t="n">
        <v>0</v>
      </c>
      <c r="F25" s="2" t="n">
        <v>1011418904</v>
      </c>
      <c r="G25" s="2" t="s">
        <v>21</v>
      </c>
      <c r="H25" s="2" t="s">
        <v>156</v>
      </c>
    </row>
    <row r="26" customFormat="false" ht="15" hidden="false" customHeight="false" outlineLevel="0" collapsed="false">
      <c r="A26" s="2" t="n">
        <v>7036359</v>
      </c>
      <c r="B26" s="2" t="n">
        <v>6249800</v>
      </c>
      <c r="C26" s="2" t="n">
        <v>1</v>
      </c>
      <c r="D26" s="2" t="n">
        <v>5</v>
      </c>
      <c r="E26" s="2" t="n">
        <v>4</v>
      </c>
      <c r="F26" s="2" t="n">
        <v>1011808971</v>
      </c>
      <c r="G26" s="2" t="s">
        <v>21</v>
      </c>
      <c r="H26" s="2" t="s">
        <v>156</v>
      </c>
    </row>
    <row r="27" customFormat="false" ht="15" hidden="false" customHeight="false" outlineLevel="0" collapsed="false">
      <c r="A27" s="2" t="n">
        <v>7238980</v>
      </c>
      <c r="B27" s="2" t="n">
        <v>6539337</v>
      </c>
      <c r="C27" s="2" t="n">
        <v>2</v>
      </c>
      <c r="D27" s="2" t="n">
        <v>8</v>
      </c>
      <c r="E27" s="2" t="n">
        <v>7</v>
      </c>
      <c r="F27" s="2" t="n">
        <v>1012950315</v>
      </c>
      <c r="G27" s="2" t="s">
        <v>21</v>
      </c>
      <c r="H27" s="2" t="s">
        <v>156</v>
      </c>
    </row>
    <row r="28" customFormat="false" ht="15" hidden="false" customHeight="false" outlineLevel="0" collapsed="false">
      <c r="A28" s="2" t="n">
        <v>7406766</v>
      </c>
      <c r="B28" s="2" t="n">
        <v>6819507</v>
      </c>
      <c r="C28" s="2" t="n">
        <v>3</v>
      </c>
      <c r="D28" s="2" t="n">
        <v>3</v>
      </c>
      <c r="E28" s="2" t="n">
        <v>2</v>
      </c>
      <c r="F28" s="2" t="n">
        <v>1014045880</v>
      </c>
      <c r="G28" s="2" t="s">
        <v>21</v>
      </c>
      <c r="H28" s="2" t="s">
        <v>156</v>
      </c>
    </row>
    <row r="29" customFormat="false" ht="15" hidden="false" customHeight="false" outlineLevel="0" collapsed="false">
      <c r="A29" s="2" t="n">
        <v>7480355</v>
      </c>
      <c r="B29" s="2" t="n">
        <v>6849111</v>
      </c>
      <c r="C29" s="2" t="n">
        <v>1</v>
      </c>
      <c r="D29" s="2" t="n">
        <v>2</v>
      </c>
      <c r="E29" s="2" t="n">
        <v>1</v>
      </c>
      <c r="F29" s="2" t="n">
        <v>1014152544</v>
      </c>
      <c r="G29" s="2" t="s">
        <v>21</v>
      </c>
      <c r="H29" s="2" t="s">
        <v>156</v>
      </c>
    </row>
    <row r="30" customFormat="false" ht="15" hidden="false" customHeight="false" outlineLevel="0" collapsed="false">
      <c r="A30" s="2" t="n">
        <v>7653965</v>
      </c>
      <c r="B30" s="2" t="n">
        <v>7130468</v>
      </c>
      <c r="C30" s="2" t="n">
        <v>1</v>
      </c>
      <c r="D30" s="2" t="n">
        <v>1</v>
      </c>
      <c r="E30" s="2" t="n">
        <v>0</v>
      </c>
      <c r="F30" s="2" t="n">
        <v>1015216507</v>
      </c>
      <c r="G30" s="2" t="s">
        <v>21</v>
      </c>
      <c r="H30" s="2" t="s">
        <v>156</v>
      </c>
    </row>
    <row r="31" customFormat="false" ht="15" hidden="false" customHeight="false" outlineLevel="0" collapsed="false">
      <c r="A31" s="2" t="n">
        <v>7980917</v>
      </c>
      <c r="B31" s="2" t="n">
        <v>7533301</v>
      </c>
      <c r="C31" s="2" t="n">
        <v>1</v>
      </c>
      <c r="D31" s="2" t="n">
        <v>1</v>
      </c>
      <c r="E31" s="2" t="n">
        <v>0</v>
      </c>
      <c r="F31" s="2" t="n">
        <v>1016707268</v>
      </c>
      <c r="G31" s="2" t="s">
        <v>21</v>
      </c>
      <c r="H31" s="2" t="s">
        <v>156</v>
      </c>
    </row>
    <row r="32" customFormat="false" ht="15" hidden="false" customHeight="false" outlineLevel="0" collapsed="false">
      <c r="A32" s="2" t="n">
        <v>7981414</v>
      </c>
      <c r="B32" s="2" t="n">
        <v>7533839</v>
      </c>
      <c r="C32" s="2" t="n">
        <v>1</v>
      </c>
      <c r="D32" s="2" t="n">
        <v>1</v>
      </c>
      <c r="E32" s="2" t="n">
        <v>0</v>
      </c>
      <c r="F32" s="2" t="n">
        <v>1016708802</v>
      </c>
      <c r="G32" s="2" t="s">
        <v>21</v>
      </c>
      <c r="H32" s="2" t="s">
        <v>156</v>
      </c>
    </row>
    <row r="33" customFormat="false" ht="15" hidden="false" customHeight="false" outlineLevel="0" collapsed="false">
      <c r="A33" s="2" t="n">
        <v>7988737</v>
      </c>
      <c r="B33" s="2" t="n">
        <v>7544172</v>
      </c>
      <c r="C33" s="2" t="n">
        <v>1</v>
      </c>
      <c r="D33" s="2" t="n">
        <v>2</v>
      </c>
      <c r="E33" s="2" t="n">
        <v>1</v>
      </c>
      <c r="F33" s="2" t="n">
        <v>1016745997</v>
      </c>
      <c r="G33" s="2" t="s">
        <v>21</v>
      </c>
      <c r="H33" s="2" t="s">
        <v>156</v>
      </c>
    </row>
    <row r="34" customFormat="false" ht="15" hidden="false" customHeight="false" outlineLevel="0" collapsed="false">
      <c r="A34" s="2" t="n">
        <v>7990087</v>
      </c>
      <c r="B34" s="2" t="n">
        <v>7546316</v>
      </c>
      <c r="C34" s="2" t="n">
        <v>1</v>
      </c>
      <c r="D34" s="2" t="n">
        <v>2</v>
      </c>
      <c r="E34" s="2" t="n">
        <v>1</v>
      </c>
      <c r="F34" s="2" t="n">
        <v>1016754294</v>
      </c>
      <c r="G34" s="2" t="s">
        <v>21</v>
      </c>
      <c r="H34" s="2" t="s">
        <v>156</v>
      </c>
    </row>
    <row r="35" customFormat="false" ht="15" hidden="false" customHeight="false" outlineLevel="0" collapsed="false">
      <c r="A35" s="2" t="n">
        <v>8150593</v>
      </c>
      <c r="B35" s="2" t="n">
        <v>7770629</v>
      </c>
      <c r="C35" s="2" t="n">
        <v>1</v>
      </c>
      <c r="D35" s="2" t="n">
        <v>1</v>
      </c>
      <c r="E35" s="2" t="n">
        <v>0</v>
      </c>
      <c r="F35" s="2" t="n">
        <v>1017605614</v>
      </c>
      <c r="G35" s="2" t="s">
        <v>21</v>
      </c>
      <c r="H35" s="2" t="s">
        <v>156</v>
      </c>
    </row>
    <row r="36" customFormat="false" ht="15" hidden="false" customHeight="false" outlineLevel="0" collapsed="false">
      <c r="A36" s="2" t="n">
        <v>8299808</v>
      </c>
      <c r="B36" s="2" t="n">
        <v>7991741</v>
      </c>
      <c r="C36" s="2" t="n">
        <v>1</v>
      </c>
      <c r="D36" s="2" t="n">
        <v>2</v>
      </c>
      <c r="E36" s="2" t="n">
        <v>1</v>
      </c>
      <c r="F36" s="2" t="n">
        <v>1018325842</v>
      </c>
      <c r="G36" s="2" t="s">
        <v>21</v>
      </c>
      <c r="H36" s="2" t="s">
        <v>156</v>
      </c>
    </row>
    <row r="37" customFormat="false" ht="15" hidden="false" customHeight="false" outlineLevel="0" collapsed="false">
      <c r="A37" s="2" t="n">
        <v>8319476</v>
      </c>
      <c r="B37" s="2" t="n">
        <v>8033407</v>
      </c>
      <c r="C37" s="2" t="n">
        <v>2</v>
      </c>
      <c r="D37" s="2" t="n">
        <v>2</v>
      </c>
      <c r="E37" s="2" t="n">
        <v>1</v>
      </c>
      <c r="F37" s="2" t="n">
        <v>1018482558</v>
      </c>
      <c r="G37" s="2" t="s">
        <v>21</v>
      </c>
      <c r="H37" s="2" t="s">
        <v>156</v>
      </c>
    </row>
    <row r="38" customFormat="false" ht="15" hidden="false" customHeight="false" outlineLevel="0" collapsed="false">
      <c r="A38" s="2" t="n">
        <v>8560432</v>
      </c>
      <c r="B38" s="2" t="n">
        <v>8429201</v>
      </c>
      <c r="C38" s="2" t="n">
        <v>2</v>
      </c>
      <c r="D38" s="2" t="n">
        <v>2</v>
      </c>
      <c r="E38" s="2" t="n">
        <v>1</v>
      </c>
      <c r="F38" s="2" t="n">
        <v>1019941090</v>
      </c>
      <c r="G38" s="2" t="s">
        <v>21</v>
      </c>
      <c r="H38" s="2" t="s">
        <v>156</v>
      </c>
    </row>
    <row r="39" customFormat="false" ht="15" hidden="false" customHeight="false" outlineLevel="0" collapsed="false">
      <c r="A39" s="2" t="n">
        <v>8613910</v>
      </c>
      <c r="B39" s="2" t="n">
        <v>8488617</v>
      </c>
      <c r="C39" s="2" t="n">
        <v>1</v>
      </c>
      <c r="D39" s="2" t="n">
        <v>1</v>
      </c>
      <c r="E39" s="2" t="n">
        <v>0</v>
      </c>
      <c r="F39" s="2" t="n">
        <v>1020168347</v>
      </c>
      <c r="G39" s="2" t="s">
        <v>21</v>
      </c>
      <c r="H39" s="2" t="s">
        <v>156</v>
      </c>
    </row>
    <row r="40" customFormat="false" ht="15" hidden="false" customHeight="false" outlineLevel="0" collapsed="false">
      <c r="A40" s="2" t="n">
        <v>8776471</v>
      </c>
      <c r="B40" s="2" t="n">
        <v>87764713</v>
      </c>
      <c r="C40" s="2" t="n">
        <v>1</v>
      </c>
      <c r="D40" s="2" t="n">
        <v>2</v>
      </c>
      <c r="E40" s="2" t="n">
        <v>1</v>
      </c>
      <c r="F40" s="2" t="n">
        <v>877647131</v>
      </c>
      <c r="G40" s="2" t="s">
        <v>21</v>
      </c>
      <c r="H40" s="2" t="s">
        <v>156</v>
      </c>
    </row>
    <row r="41" customFormat="false" ht="15" hidden="false" customHeight="false" outlineLevel="0" collapsed="false">
      <c r="A41" s="2" t="n">
        <v>8781294</v>
      </c>
      <c r="B41" s="2" t="n">
        <v>87812942</v>
      </c>
      <c r="C41" s="2" t="n">
        <v>1</v>
      </c>
      <c r="D41" s="2" t="n">
        <v>1</v>
      </c>
      <c r="E41" s="2" t="n">
        <v>0</v>
      </c>
      <c r="F41" s="2" t="n">
        <v>878129421</v>
      </c>
      <c r="G41" s="2" t="s">
        <v>21</v>
      </c>
      <c r="H41" s="2" t="s">
        <v>156</v>
      </c>
    </row>
    <row r="42" customFormat="false" ht="15" hidden="false" customHeight="false" outlineLevel="0" collapsed="false">
      <c r="A42" s="2" t="n">
        <v>8831085</v>
      </c>
      <c r="B42" s="2" t="n">
        <v>88310851</v>
      </c>
      <c r="C42" s="2" t="n">
        <v>1</v>
      </c>
      <c r="D42" s="2" t="n">
        <v>1</v>
      </c>
      <c r="E42" s="2" t="n">
        <v>0</v>
      </c>
      <c r="F42" s="2" t="n">
        <v>883108511</v>
      </c>
      <c r="G42" s="2" t="s">
        <v>21</v>
      </c>
      <c r="H42" s="2" t="s">
        <v>156</v>
      </c>
    </row>
    <row r="43" customFormat="false" ht="15" hidden="false" customHeight="false" outlineLevel="0" collapsed="false">
      <c r="A43" s="2" t="n">
        <v>9797942</v>
      </c>
      <c r="B43" s="2" t="n">
        <v>97979424</v>
      </c>
      <c r="C43" s="2" t="n">
        <v>1</v>
      </c>
      <c r="D43" s="2" t="n">
        <v>1</v>
      </c>
      <c r="E43" s="2" t="n">
        <v>0</v>
      </c>
      <c r="F43" s="2" t="n">
        <v>979794241</v>
      </c>
      <c r="G43" s="2" t="s">
        <v>21</v>
      </c>
      <c r="H43" s="2" t="s">
        <v>156</v>
      </c>
    </row>
    <row r="44" customFormat="false" ht="15" hidden="false" customHeight="false" outlineLevel="0" collapsed="false">
      <c r="A44" s="2" t="n">
        <v>12664762</v>
      </c>
      <c r="B44" s="2" t="n">
        <v>126647621</v>
      </c>
      <c r="C44" s="2" t="n">
        <v>1</v>
      </c>
      <c r="D44" s="2" t="n">
        <v>1</v>
      </c>
      <c r="E44" s="2" t="n">
        <v>0</v>
      </c>
      <c r="F44" s="2" t="n">
        <v>1266476211</v>
      </c>
      <c r="G44" s="2" t="s">
        <v>125</v>
      </c>
      <c r="H44" s="4" t="s">
        <v>157</v>
      </c>
    </row>
    <row r="45" customFormat="false" ht="15" hidden="false" customHeight="false" outlineLevel="0" collapsed="false">
      <c r="A45" s="2" t="n">
        <v>14578165</v>
      </c>
      <c r="B45" s="2" t="n">
        <v>145781652</v>
      </c>
      <c r="C45" s="2" t="n">
        <v>1</v>
      </c>
      <c r="D45" s="2" t="n">
        <v>2</v>
      </c>
      <c r="E45" s="2" t="n">
        <v>1</v>
      </c>
      <c r="F45" s="2" t="n">
        <v>145781652100</v>
      </c>
      <c r="G45" s="2" t="s">
        <v>21</v>
      </c>
      <c r="H45" s="2" t="s">
        <v>156</v>
      </c>
    </row>
    <row r="46" customFormat="false" ht="15" hidden="false" customHeight="false" outlineLevel="0" collapsed="false">
      <c r="A46" s="2" t="n">
        <v>14592520</v>
      </c>
      <c r="B46" s="2" t="n">
        <v>145925203</v>
      </c>
      <c r="C46" s="2" t="n">
        <v>3</v>
      </c>
      <c r="D46" s="2" t="n">
        <v>16</v>
      </c>
      <c r="E46" s="2" t="n">
        <v>15</v>
      </c>
      <c r="F46" s="2" t="n">
        <v>1459252031</v>
      </c>
      <c r="G46" s="2" t="s">
        <v>21</v>
      </c>
      <c r="H46" s="2" t="s">
        <v>156</v>
      </c>
    </row>
    <row r="47" customFormat="false" ht="15" hidden="false" customHeight="false" outlineLevel="0" collapsed="false">
      <c r="A47" s="2" t="n">
        <v>14734499</v>
      </c>
      <c r="B47" s="2" t="n">
        <v>147344992</v>
      </c>
      <c r="C47" s="2" t="n">
        <v>1</v>
      </c>
      <c r="D47" s="2" t="n">
        <v>2</v>
      </c>
      <c r="E47" s="2" t="n">
        <v>1</v>
      </c>
      <c r="F47" s="2" t="n">
        <v>1473449921</v>
      </c>
      <c r="G47" s="2" t="s">
        <v>21</v>
      </c>
      <c r="H47" s="2" t="s">
        <v>156</v>
      </c>
    </row>
    <row r="48" customFormat="false" ht="15" hidden="false" customHeight="false" outlineLevel="0" collapsed="false">
      <c r="A48" s="2" t="n">
        <v>15858625</v>
      </c>
      <c r="B48" s="2" t="n">
        <v>158586251</v>
      </c>
      <c r="C48" s="2" t="n">
        <v>1</v>
      </c>
      <c r="D48" s="2" t="n">
        <v>1</v>
      </c>
      <c r="E48" s="2" t="n">
        <v>0</v>
      </c>
      <c r="F48" s="2" t="n">
        <v>1585862512</v>
      </c>
      <c r="G48" s="2" t="s">
        <v>125</v>
      </c>
      <c r="H48" s="4" t="s">
        <v>157</v>
      </c>
    </row>
    <row r="49" customFormat="false" ht="15" hidden="false" customHeight="false" outlineLevel="0" collapsed="false">
      <c r="A49" s="2" t="n">
        <v>15884146</v>
      </c>
      <c r="B49" s="2" t="n">
        <v>158841464</v>
      </c>
      <c r="C49" s="2" t="n">
        <v>1</v>
      </c>
      <c r="D49" s="2" t="n">
        <v>1</v>
      </c>
      <c r="E49" s="2" t="n">
        <v>0</v>
      </c>
      <c r="F49" s="2" t="n">
        <v>1588414641</v>
      </c>
      <c r="G49" s="2" t="s">
        <v>21</v>
      </c>
      <c r="H49" s="2" t="s">
        <v>156</v>
      </c>
    </row>
    <row r="50" customFormat="false" ht="15" hidden="false" customHeight="false" outlineLevel="0" collapsed="false">
      <c r="A50" s="2" t="n">
        <v>16149681</v>
      </c>
      <c r="B50" s="2" t="n">
        <v>161496811</v>
      </c>
      <c r="C50" s="2" t="n">
        <v>1</v>
      </c>
      <c r="D50" s="2" t="n">
        <v>1</v>
      </c>
      <c r="E50" s="2" t="n">
        <v>0</v>
      </c>
      <c r="F50" s="2" t="n">
        <v>1614968111</v>
      </c>
      <c r="G50" s="2" t="s">
        <v>21</v>
      </c>
      <c r="H50" s="2" t="s">
        <v>156</v>
      </c>
    </row>
    <row r="51" customFormat="false" ht="15" hidden="false" customHeight="false" outlineLevel="0" collapsed="false">
      <c r="A51" s="2" t="n">
        <v>18045480</v>
      </c>
      <c r="B51" s="2" t="n">
        <v>180454804</v>
      </c>
      <c r="C51" s="2" t="n">
        <v>1</v>
      </c>
      <c r="D51" s="2" t="n">
        <v>1</v>
      </c>
      <c r="E51" s="2" t="n">
        <v>0</v>
      </c>
      <c r="F51" s="2" t="n">
        <v>180454804100</v>
      </c>
      <c r="G51" s="2" t="s">
        <v>21</v>
      </c>
      <c r="H51" s="2" t="s">
        <v>156</v>
      </c>
    </row>
    <row r="52" customFormat="false" ht="15" hidden="false" customHeight="false" outlineLevel="0" collapsed="false">
      <c r="A52" s="2" t="n">
        <v>19553407</v>
      </c>
      <c r="B52" s="2" t="n">
        <v>195534073</v>
      </c>
      <c r="C52" s="2" t="n">
        <v>1</v>
      </c>
      <c r="D52" s="2" t="n">
        <v>1</v>
      </c>
      <c r="E52" s="2" t="n">
        <v>0</v>
      </c>
      <c r="F52" s="2" t="n">
        <v>195534073100</v>
      </c>
      <c r="G52" s="2" t="s">
        <v>21</v>
      </c>
      <c r="H52" s="2" t="s">
        <v>156</v>
      </c>
    </row>
    <row r="53" customFormat="false" ht="15" hidden="false" customHeight="false" outlineLevel="0" collapsed="false">
      <c r="A53" s="2" t="n">
        <v>21195922</v>
      </c>
      <c r="B53" s="2" t="n">
        <v>211959223</v>
      </c>
      <c r="C53" s="2" t="n">
        <v>1</v>
      </c>
      <c r="D53" s="2" t="n">
        <v>2</v>
      </c>
      <c r="E53" s="2" t="n">
        <v>1</v>
      </c>
      <c r="F53" s="2" t="n">
        <v>211959223100</v>
      </c>
      <c r="G53" s="2" t="s">
        <v>21</v>
      </c>
      <c r="H53" s="2" t="s">
        <v>156</v>
      </c>
    </row>
    <row r="54" customFormat="false" ht="15" hidden="false" customHeight="false" outlineLevel="0" collapsed="false">
      <c r="A54" s="2" t="n">
        <v>21359603</v>
      </c>
      <c r="B54" s="2" t="n">
        <v>213596031</v>
      </c>
      <c r="C54" s="2" t="n">
        <v>1</v>
      </c>
      <c r="D54" s="2" t="n">
        <v>5</v>
      </c>
      <c r="E54" s="2" t="n">
        <v>4</v>
      </c>
      <c r="F54" s="2" t="n">
        <v>213596031200</v>
      </c>
      <c r="G54" s="2" t="s">
        <v>125</v>
      </c>
      <c r="H54" s="4" t="s">
        <v>157</v>
      </c>
    </row>
    <row r="55" customFormat="false" ht="15" hidden="false" customHeight="false" outlineLevel="0" collapsed="false">
      <c r="A55" s="2" t="n">
        <v>21741755</v>
      </c>
      <c r="B55" s="2" t="n">
        <v>217417551</v>
      </c>
      <c r="C55" s="2" t="n">
        <v>1</v>
      </c>
      <c r="D55" s="2" t="n">
        <v>3</v>
      </c>
      <c r="E55" s="2" t="n">
        <v>2</v>
      </c>
      <c r="F55" s="2" t="n">
        <v>217417551100</v>
      </c>
      <c r="G55" s="2" t="s">
        <v>125</v>
      </c>
      <c r="H55" s="4" t="s">
        <v>157</v>
      </c>
    </row>
    <row r="56" customFormat="false" ht="15" hidden="false" customHeight="false" outlineLevel="0" collapsed="false">
      <c r="A56" s="2" t="n">
        <v>23592341</v>
      </c>
      <c r="B56" s="2" t="n">
        <v>235923411</v>
      </c>
      <c r="C56" s="2" t="n">
        <v>1</v>
      </c>
      <c r="D56" s="2" t="n">
        <v>2</v>
      </c>
      <c r="E56" s="2" t="n">
        <v>1</v>
      </c>
      <c r="F56" s="2" t="n">
        <v>235923411100</v>
      </c>
      <c r="G56" s="2" t="s">
        <v>21</v>
      </c>
      <c r="H56" s="2" t="s">
        <v>156</v>
      </c>
    </row>
    <row r="57" customFormat="false" ht="15" hidden="false" customHeight="false" outlineLevel="0" collapsed="false">
      <c r="A57" s="2" t="n">
        <v>23631031</v>
      </c>
      <c r="B57" s="2" t="n">
        <v>236310311</v>
      </c>
      <c r="C57" s="2" t="n">
        <v>1</v>
      </c>
      <c r="D57" s="2" t="n">
        <v>5</v>
      </c>
      <c r="E57" s="2" t="n">
        <v>4</v>
      </c>
      <c r="F57" s="2" t="n">
        <v>236310311200</v>
      </c>
      <c r="G57" s="2" t="s">
        <v>125</v>
      </c>
      <c r="H57" s="4" t="s">
        <v>157</v>
      </c>
    </row>
    <row r="59" customFormat="false" ht="15" hidden="false" customHeight="false" outlineLevel="0" collapsed="false">
      <c r="A59" s="5" t="s">
        <v>158</v>
      </c>
      <c r="B59" s="6" t="n">
        <f aca="false">COUNTA('Deduplicated (56)'!$N$2:$N$57)</f>
        <v>56</v>
      </c>
    </row>
    <row r="60" customFormat="false" ht="15" hidden="false" customHeight="false" outlineLevel="0" collapsed="false">
      <c r="A60" s="5" t="s">
        <v>159</v>
      </c>
      <c r="B60" s="6" t="n">
        <f aca="false">COUNTA($A$2:$A$57)</f>
        <v>56</v>
      </c>
    </row>
    <row r="61" customFormat="false" ht="15" hidden="false" customHeight="false" outlineLevel="0" collapsed="false">
      <c r="A61" s="5" t="s">
        <v>152</v>
      </c>
      <c r="B61" s="6" t="n">
        <f aca="false">SUM($E$2:$E$57)</f>
        <v>89</v>
      </c>
    </row>
    <row r="62" customFormat="false" ht="15" hidden="false" customHeight="false" outlineLevel="0" collapsed="false">
      <c r="A62" s="5" t="s">
        <v>160</v>
      </c>
      <c r="B62" s="6" t="n">
        <f aca="false">$B$59+$B$61</f>
        <v>145</v>
      </c>
    </row>
  </sheetData>
  <autoFilter ref="A1:H5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2"/>
    <col collapsed="false" customWidth="true" hidden="false" outlineLevel="0" max="10" min="10" style="0" width="24"/>
    <col collapsed="false" customWidth="true" hidden="false" outlineLevel="0" max="11" min="11" style="0" width="12"/>
    <col collapsed="false" customWidth="true" hidden="false" outlineLevel="0" max="12" min="12" style="0" width="26"/>
    <col collapsed="false" customWidth="true" hidden="false" outlineLevel="0" max="13" min="13" style="0" width="60"/>
    <col collapsed="false" customWidth="true" hidden="false" outlineLevel="0" max="14" min="14" style="0" width="11"/>
    <col collapsed="false" customWidth="true" hidden="false" outlineLevel="0" max="15" min="15" style="0" width="9"/>
    <col collapsed="false" customWidth="true" hidden="false" outlineLevel="0" max="16" min="16" style="0" width="16"/>
    <col collapsed="false" customWidth="true" hidden="false" outlineLevel="0" max="17" min="17"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4949388</v>
      </c>
      <c r="B2" s="3" t="n">
        <v>38797</v>
      </c>
      <c r="C2" s="2" t="s">
        <v>17</v>
      </c>
      <c r="D2" s="2" t="n">
        <v>1007074795</v>
      </c>
      <c r="E2" s="2" t="s">
        <v>18</v>
      </c>
      <c r="F2" s="2" t="s">
        <v>19</v>
      </c>
      <c r="G2" s="2" t="s">
        <v>20</v>
      </c>
      <c r="H2" s="2" t="s">
        <v>21</v>
      </c>
      <c r="I2" s="2" t="s">
        <v>22</v>
      </c>
      <c r="J2" s="2" t="s">
        <v>23</v>
      </c>
      <c r="K2" s="2"/>
      <c r="L2" s="2" t="s">
        <v>24</v>
      </c>
      <c r="M2" s="2" t="s">
        <v>161</v>
      </c>
      <c r="N2" s="2" t="n">
        <v>3506037</v>
      </c>
      <c r="O2" s="2" t="s">
        <v>26</v>
      </c>
      <c r="P2" s="2" t="s">
        <v>27</v>
      </c>
      <c r="Q2" s="2" t="n">
        <v>31</v>
      </c>
    </row>
    <row r="3" customFormat="false" ht="15" hidden="false" customHeight="false" outlineLevel="0" collapsed="false">
      <c r="A3" s="2" t="n">
        <v>5509945</v>
      </c>
      <c r="B3" s="3" t="n">
        <v>39394</v>
      </c>
      <c r="C3" s="2" t="s">
        <v>17</v>
      </c>
      <c r="D3" s="2" t="n">
        <v>1009131185</v>
      </c>
      <c r="E3" s="2" t="s">
        <v>18</v>
      </c>
      <c r="F3" s="2" t="s">
        <v>19</v>
      </c>
      <c r="G3" s="2" t="s">
        <v>20</v>
      </c>
      <c r="H3" s="2" t="s">
        <v>125</v>
      </c>
      <c r="I3" s="2" t="s">
        <v>22</v>
      </c>
      <c r="J3" s="2" t="s">
        <v>162</v>
      </c>
      <c r="K3" s="2"/>
      <c r="L3" s="2"/>
      <c r="M3" s="2" t="s">
        <v>25</v>
      </c>
      <c r="N3" s="2" t="n">
        <v>3506037</v>
      </c>
      <c r="O3" s="2" t="s">
        <v>26</v>
      </c>
      <c r="P3" s="2" t="s">
        <v>27</v>
      </c>
      <c r="Q3" s="2" t="n">
        <v>31</v>
      </c>
    </row>
    <row r="4" customFormat="false" ht="15" hidden="false" customHeight="false" outlineLevel="0" collapsed="false">
      <c r="A4" s="2" t="n">
        <v>5018873</v>
      </c>
      <c r="B4" s="3" t="n">
        <v>38874</v>
      </c>
      <c r="C4" s="2" t="s">
        <v>30</v>
      </c>
      <c r="D4" s="2" t="n">
        <v>1007351955</v>
      </c>
      <c r="E4" s="2" t="s">
        <v>18</v>
      </c>
      <c r="F4" s="2" t="s">
        <v>19</v>
      </c>
      <c r="G4" s="2" t="s">
        <v>20</v>
      </c>
      <c r="H4" s="2" t="s">
        <v>21</v>
      </c>
      <c r="I4" s="2"/>
      <c r="J4" s="2" t="s">
        <v>28</v>
      </c>
      <c r="K4" s="2"/>
      <c r="L4" s="2" t="s">
        <v>24</v>
      </c>
      <c r="M4" s="2" t="s">
        <v>163</v>
      </c>
      <c r="N4" s="2" t="n">
        <v>3624188</v>
      </c>
      <c r="O4" s="2" t="s">
        <v>26</v>
      </c>
      <c r="P4" s="2" t="s">
        <v>27</v>
      </c>
      <c r="Q4" s="2" t="n">
        <v>49</v>
      </c>
    </row>
    <row r="5" customFormat="false" ht="15" hidden="false" customHeight="false" outlineLevel="0" collapsed="false">
      <c r="A5" s="2" t="n">
        <v>5018873</v>
      </c>
      <c r="B5" s="3" t="n">
        <v>38874</v>
      </c>
      <c r="C5" s="2" t="s">
        <v>30</v>
      </c>
      <c r="D5" s="2" t="n">
        <v>1007351956</v>
      </c>
      <c r="E5" s="2" t="s">
        <v>18</v>
      </c>
      <c r="F5" s="2" t="s">
        <v>19</v>
      </c>
      <c r="G5" s="2" t="s">
        <v>20</v>
      </c>
      <c r="H5" s="2" t="s">
        <v>125</v>
      </c>
      <c r="I5" s="2" t="s">
        <v>22</v>
      </c>
      <c r="J5" s="2"/>
      <c r="K5" s="2"/>
      <c r="L5" s="2"/>
      <c r="M5" s="2" t="s">
        <v>163</v>
      </c>
      <c r="N5" s="2" t="n">
        <v>3624188</v>
      </c>
      <c r="O5" s="2" t="s">
        <v>26</v>
      </c>
      <c r="P5" s="2" t="s">
        <v>27</v>
      </c>
      <c r="Q5" s="2" t="n">
        <v>49</v>
      </c>
    </row>
    <row r="6" customFormat="false" ht="15" hidden="false" customHeight="false" outlineLevel="0" collapsed="false">
      <c r="A6" s="2" t="n">
        <v>5134401</v>
      </c>
      <c r="B6" s="3" t="n">
        <v>39015</v>
      </c>
      <c r="C6" s="2"/>
      <c r="D6" s="2" t="n">
        <v>1007785768</v>
      </c>
      <c r="E6" s="2" t="s">
        <v>18</v>
      </c>
      <c r="F6" s="2" t="s">
        <v>19</v>
      </c>
      <c r="G6" s="2" t="s">
        <v>20</v>
      </c>
      <c r="H6" s="2" t="s">
        <v>125</v>
      </c>
      <c r="I6" s="2" t="s">
        <v>22</v>
      </c>
      <c r="J6" s="2"/>
      <c r="K6" s="2"/>
      <c r="L6" s="2"/>
      <c r="M6" s="2" t="s">
        <v>29</v>
      </c>
      <c r="N6" s="2" t="n">
        <v>3624188</v>
      </c>
      <c r="O6" s="2" t="s">
        <v>26</v>
      </c>
      <c r="P6" s="2" t="s">
        <v>27</v>
      </c>
      <c r="Q6" s="2" t="n">
        <v>49</v>
      </c>
    </row>
    <row r="7" customFormat="false" ht="15" hidden="false" customHeight="false" outlineLevel="0" collapsed="false">
      <c r="A7" s="2" t="n">
        <v>4310412</v>
      </c>
      <c r="B7" s="3" t="n">
        <v>38049</v>
      </c>
      <c r="C7" s="2" t="s">
        <v>30</v>
      </c>
      <c r="D7" s="2" t="n">
        <v>1004673890</v>
      </c>
      <c r="E7" s="2" t="s">
        <v>18</v>
      </c>
      <c r="F7" s="2" t="s">
        <v>19</v>
      </c>
      <c r="G7" s="2" t="s">
        <v>20</v>
      </c>
      <c r="H7" s="2" t="s">
        <v>21</v>
      </c>
      <c r="I7" s="2" t="s">
        <v>22</v>
      </c>
      <c r="J7" s="2" t="s">
        <v>31</v>
      </c>
      <c r="K7" s="2"/>
      <c r="L7" s="2" t="s">
        <v>24</v>
      </c>
      <c r="M7" s="2" t="s">
        <v>164</v>
      </c>
      <c r="N7" s="2" t="n">
        <v>4100316</v>
      </c>
      <c r="O7" s="2" t="s">
        <v>26</v>
      </c>
      <c r="P7" s="2" t="s">
        <v>33</v>
      </c>
      <c r="Q7" s="2" t="n">
        <v>28</v>
      </c>
    </row>
    <row r="8" customFormat="false" ht="15" hidden="false" customHeight="false" outlineLevel="0" collapsed="false">
      <c r="A8" s="2" t="n">
        <v>4349351</v>
      </c>
      <c r="B8" s="3" t="n">
        <v>38105</v>
      </c>
      <c r="C8" s="2" t="s">
        <v>34</v>
      </c>
      <c r="D8" s="2" t="n">
        <v>1004822808</v>
      </c>
      <c r="E8" s="2" t="s">
        <v>18</v>
      </c>
      <c r="F8" s="2" t="s">
        <v>19</v>
      </c>
      <c r="G8" s="2" t="s">
        <v>20</v>
      </c>
      <c r="H8" s="2" t="s">
        <v>21</v>
      </c>
      <c r="I8" s="2" t="s">
        <v>22</v>
      </c>
      <c r="J8" s="2" t="s">
        <v>35</v>
      </c>
      <c r="K8" s="2"/>
      <c r="L8" s="2" t="s">
        <v>24</v>
      </c>
      <c r="M8" s="2" t="s">
        <v>165</v>
      </c>
      <c r="N8" s="2" t="n">
        <v>4131808</v>
      </c>
      <c r="O8" s="2" t="s">
        <v>37</v>
      </c>
      <c r="P8" s="2" t="s">
        <v>33</v>
      </c>
      <c r="Q8" s="2" t="n">
        <v>45</v>
      </c>
    </row>
    <row r="9" customFormat="false" ht="15" hidden="false" customHeight="false" outlineLevel="0" collapsed="false">
      <c r="A9" s="2" t="n">
        <v>4354871</v>
      </c>
      <c r="B9" s="3" t="n">
        <v>38114</v>
      </c>
      <c r="C9" s="2" t="s">
        <v>34</v>
      </c>
      <c r="D9" s="2" t="n">
        <v>1004846525</v>
      </c>
      <c r="E9" s="2" t="s">
        <v>18</v>
      </c>
      <c r="F9" s="2" t="s">
        <v>19</v>
      </c>
      <c r="G9" s="2" t="s">
        <v>20</v>
      </c>
      <c r="H9" s="2" t="s">
        <v>21</v>
      </c>
      <c r="I9" s="2" t="s">
        <v>22</v>
      </c>
      <c r="J9" s="2" t="s">
        <v>35</v>
      </c>
      <c r="K9" s="2"/>
      <c r="L9" s="2" t="s">
        <v>24</v>
      </c>
      <c r="M9" s="2" t="s">
        <v>165</v>
      </c>
      <c r="N9" s="2" t="n">
        <v>4131808</v>
      </c>
      <c r="O9" s="2" t="s">
        <v>37</v>
      </c>
      <c r="P9" s="2" t="s">
        <v>33</v>
      </c>
      <c r="Q9" s="2" t="n">
        <v>45</v>
      </c>
    </row>
    <row r="10" customFormat="false" ht="15" hidden="false" customHeight="false" outlineLevel="0" collapsed="false">
      <c r="A10" s="2" t="n">
        <v>4658831</v>
      </c>
      <c r="B10" s="3" t="n">
        <v>38483</v>
      </c>
      <c r="C10" s="2" t="s">
        <v>34</v>
      </c>
      <c r="D10" s="2" t="n">
        <v>1005969197</v>
      </c>
      <c r="E10" s="2" t="s">
        <v>18</v>
      </c>
      <c r="F10" s="2" t="s">
        <v>19</v>
      </c>
      <c r="G10" s="2" t="s">
        <v>20</v>
      </c>
      <c r="H10" s="2" t="s">
        <v>21</v>
      </c>
      <c r="I10" s="2"/>
      <c r="J10" s="2" t="s">
        <v>39</v>
      </c>
      <c r="K10" s="2"/>
      <c r="L10" s="2" t="s">
        <v>24</v>
      </c>
      <c r="M10" s="2" t="s">
        <v>166</v>
      </c>
      <c r="N10" s="2" t="n">
        <v>5793242</v>
      </c>
      <c r="O10" s="2" t="s">
        <v>26</v>
      </c>
      <c r="P10" s="2" t="s">
        <v>33</v>
      </c>
      <c r="Q10" s="2" t="n">
        <v>58</v>
      </c>
    </row>
    <row r="11" customFormat="false" ht="15" hidden="false" customHeight="false" outlineLevel="0" collapsed="false">
      <c r="A11" s="2" t="n">
        <v>5024461</v>
      </c>
      <c r="B11" s="3" t="n">
        <v>38881</v>
      </c>
      <c r="C11" s="2" t="s">
        <v>34</v>
      </c>
      <c r="D11" s="2" t="n">
        <v>1007373444</v>
      </c>
      <c r="E11" s="2" t="s">
        <v>18</v>
      </c>
      <c r="F11" s="2" t="s">
        <v>19</v>
      </c>
      <c r="G11" s="2" t="s">
        <v>20</v>
      </c>
      <c r="H11" s="2" t="s">
        <v>21</v>
      </c>
      <c r="I11" s="2" t="s">
        <v>22</v>
      </c>
      <c r="J11" s="2" t="s">
        <v>39</v>
      </c>
      <c r="K11" s="2"/>
      <c r="L11" s="2" t="s">
        <v>24</v>
      </c>
      <c r="M11" s="2" t="s">
        <v>40</v>
      </c>
      <c r="N11" s="2" t="n">
        <v>5793242</v>
      </c>
      <c r="O11" s="2" t="s">
        <v>26</v>
      </c>
      <c r="P11" s="2" t="s">
        <v>38</v>
      </c>
      <c r="Q11" s="2" t="n">
        <v>58</v>
      </c>
    </row>
    <row r="12" customFormat="false" ht="15" hidden="false" customHeight="false" outlineLevel="0" collapsed="false">
      <c r="A12" s="2" t="n">
        <v>5136363</v>
      </c>
      <c r="B12" s="3" t="n">
        <v>39017</v>
      </c>
      <c r="C12" s="2" t="s">
        <v>34</v>
      </c>
      <c r="D12" s="2" t="n">
        <v>1007794444</v>
      </c>
      <c r="E12" s="2" t="s">
        <v>18</v>
      </c>
      <c r="F12" s="2" t="s">
        <v>19</v>
      </c>
      <c r="G12" s="2" t="s">
        <v>20</v>
      </c>
      <c r="H12" s="2" t="s">
        <v>21</v>
      </c>
      <c r="I12" s="2" t="s">
        <v>22</v>
      </c>
      <c r="J12" s="2" t="s">
        <v>39</v>
      </c>
      <c r="K12" s="2"/>
      <c r="L12" s="2" t="s">
        <v>24</v>
      </c>
      <c r="M12" s="2" t="s">
        <v>40</v>
      </c>
      <c r="N12" s="2" t="n">
        <v>5793242</v>
      </c>
      <c r="O12" s="2" t="s">
        <v>26</v>
      </c>
      <c r="P12" s="2" t="s">
        <v>41</v>
      </c>
      <c r="Q12" s="2" t="n">
        <v>58</v>
      </c>
    </row>
    <row r="13" customFormat="false" ht="15" hidden="false" customHeight="false" outlineLevel="0" collapsed="false">
      <c r="A13" s="2" t="n">
        <v>4667915</v>
      </c>
      <c r="B13" s="3" t="n">
        <v>38492</v>
      </c>
      <c r="C13" s="2" t="s">
        <v>30</v>
      </c>
      <c r="D13" s="2" t="n">
        <v>1006008704</v>
      </c>
      <c r="E13" s="2" t="s">
        <v>18</v>
      </c>
      <c r="F13" s="2" t="s">
        <v>19</v>
      </c>
      <c r="G13" s="2" t="s">
        <v>20</v>
      </c>
      <c r="H13" s="2" t="s">
        <v>21</v>
      </c>
      <c r="I13" s="2" t="s">
        <v>22</v>
      </c>
      <c r="J13" s="2" t="s">
        <v>42</v>
      </c>
      <c r="K13" s="2" t="n">
        <v>550</v>
      </c>
      <c r="L13" s="2" t="s">
        <v>24</v>
      </c>
      <c r="M13" s="2" t="s">
        <v>167</v>
      </c>
      <c r="N13" s="2" t="n">
        <v>5800586</v>
      </c>
      <c r="O13" s="2" t="s">
        <v>26</v>
      </c>
      <c r="P13" s="2" t="s">
        <v>33</v>
      </c>
      <c r="Q13" s="2" t="n">
        <v>25</v>
      </c>
    </row>
    <row r="14" customFormat="false" ht="15" hidden="false" customHeight="false" outlineLevel="0" collapsed="false">
      <c r="A14" s="2" t="n">
        <v>4686362</v>
      </c>
      <c r="B14" s="3" t="n">
        <v>38512</v>
      </c>
      <c r="C14" s="2" t="s">
        <v>30</v>
      </c>
      <c r="D14" s="2" t="n">
        <v>1006093364</v>
      </c>
      <c r="E14" s="2" t="s">
        <v>18</v>
      </c>
      <c r="F14" s="2" t="s">
        <v>19</v>
      </c>
      <c r="G14" s="2" t="s">
        <v>20</v>
      </c>
      <c r="H14" s="2" t="s">
        <v>21</v>
      </c>
      <c r="I14" s="2" t="s">
        <v>22</v>
      </c>
      <c r="J14" s="2" t="s">
        <v>42</v>
      </c>
      <c r="K14" s="2" t="n">
        <v>550</v>
      </c>
      <c r="L14" s="2" t="s">
        <v>24</v>
      </c>
      <c r="M14" s="2" t="s">
        <v>43</v>
      </c>
      <c r="N14" s="2" t="n">
        <v>5800586</v>
      </c>
      <c r="O14" s="2" t="s">
        <v>26</v>
      </c>
      <c r="P14" s="2" t="s">
        <v>33</v>
      </c>
      <c r="Q14" s="2" t="n">
        <v>25</v>
      </c>
    </row>
    <row r="15" customFormat="false" ht="15" hidden="false" customHeight="false" outlineLevel="0" collapsed="false">
      <c r="A15" s="2" t="n">
        <v>4766338</v>
      </c>
      <c r="B15" s="3" t="n">
        <v>38607</v>
      </c>
      <c r="C15" s="2" t="s">
        <v>30</v>
      </c>
      <c r="D15" s="2" t="n">
        <v>1006409377</v>
      </c>
      <c r="E15" s="2" t="s">
        <v>18</v>
      </c>
      <c r="F15" s="2" t="s">
        <v>19</v>
      </c>
      <c r="G15" s="2" t="s">
        <v>20</v>
      </c>
      <c r="H15" s="2" t="s">
        <v>21</v>
      </c>
      <c r="I15" s="2" t="s">
        <v>22</v>
      </c>
      <c r="J15" s="2" t="s">
        <v>42</v>
      </c>
      <c r="K15" s="2" t="n">
        <v>550</v>
      </c>
      <c r="L15" s="2" t="s">
        <v>24</v>
      </c>
      <c r="M15" s="2" t="s">
        <v>43</v>
      </c>
      <c r="N15" s="2" t="n">
        <v>5800586</v>
      </c>
      <c r="O15" s="2" t="s">
        <v>26</v>
      </c>
      <c r="P15" s="2" t="s">
        <v>27</v>
      </c>
      <c r="Q15" s="2" t="n">
        <v>25</v>
      </c>
    </row>
    <row r="16" customFormat="false" ht="15" hidden="false" customHeight="false" outlineLevel="0" collapsed="false">
      <c r="A16" s="2" t="n">
        <v>4914943</v>
      </c>
      <c r="B16" s="3" t="n">
        <v>38765</v>
      </c>
      <c r="C16" s="2" t="s">
        <v>30</v>
      </c>
      <c r="D16" s="2" t="n">
        <v>1006946874</v>
      </c>
      <c r="E16" s="2" t="s">
        <v>18</v>
      </c>
      <c r="F16" s="2" t="s">
        <v>19</v>
      </c>
      <c r="G16" s="2" t="s">
        <v>20</v>
      </c>
      <c r="H16" s="2" t="s">
        <v>21</v>
      </c>
      <c r="I16" s="2" t="s">
        <v>22</v>
      </c>
      <c r="J16" s="2" t="s">
        <v>132</v>
      </c>
      <c r="K16" s="2"/>
      <c r="L16" s="2" t="s">
        <v>24</v>
      </c>
      <c r="M16" s="2" t="s">
        <v>168</v>
      </c>
      <c r="N16" s="2" t="n">
        <v>5986510</v>
      </c>
      <c r="O16" s="2" t="s">
        <v>26</v>
      </c>
      <c r="P16" s="2" t="s">
        <v>27</v>
      </c>
      <c r="Q16" s="2" t="n">
        <v>37</v>
      </c>
    </row>
    <row r="17" customFormat="false" ht="15" hidden="false" customHeight="false" outlineLevel="0" collapsed="false">
      <c r="A17" s="2" t="n">
        <v>4914943</v>
      </c>
      <c r="B17" s="3" t="n">
        <v>38765</v>
      </c>
      <c r="C17" s="2" t="s">
        <v>30</v>
      </c>
      <c r="D17" s="2" t="n">
        <v>1006946875</v>
      </c>
      <c r="E17" s="2" t="s">
        <v>18</v>
      </c>
      <c r="F17" s="2" t="s">
        <v>19</v>
      </c>
      <c r="G17" s="2" t="s">
        <v>20</v>
      </c>
      <c r="H17" s="2" t="s">
        <v>125</v>
      </c>
      <c r="I17" s="2"/>
      <c r="J17" s="2" t="s">
        <v>169</v>
      </c>
      <c r="K17" s="2"/>
      <c r="L17" s="2"/>
      <c r="M17" s="2" t="s">
        <v>168</v>
      </c>
      <c r="N17" s="2" t="n">
        <v>5986510</v>
      </c>
      <c r="O17" s="2" t="s">
        <v>26</v>
      </c>
      <c r="P17" s="2" t="s">
        <v>27</v>
      </c>
      <c r="Q17" s="2" t="n">
        <v>37</v>
      </c>
    </row>
    <row r="18" customFormat="false" ht="15" hidden="false" customHeight="false" outlineLevel="0" collapsed="false">
      <c r="A18" s="2" t="n">
        <v>4919867</v>
      </c>
      <c r="B18" s="3" t="n">
        <v>38771</v>
      </c>
      <c r="C18" s="2" t="s">
        <v>30</v>
      </c>
      <c r="D18" s="2" t="n">
        <v>1006965225</v>
      </c>
      <c r="E18" s="2" t="s">
        <v>18</v>
      </c>
      <c r="F18" s="2" t="s">
        <v>19</v>
      </c>
      <c r="G18" s="2" t="s">
        <v>20</v>
      </c>
      <c r="H18" s="2" t="s">
        <v>21</v>
      </c>
      <c r="I18" s="2" t="s">
        <v>22</v>
      </c>
      <c r="J18" s="2" t="s">
        <v>132</v>
      </c>
      <c r="K18" s="2"/>
      <c r="L18" s="2" t="s">
        <v>24</v>
      </c>
      <c r="M18" s="2" t="s">
        <v>168</v>
      </c>
      <c r="N18" s="2" t="n">
        <v>5986510</v>
      </c>
      <c r="O18" s="2" t="s">
        <v>26</v>
      </c>
      <c r="P18" s="2" t="s">
        <v>27</v>
      </c>
      <c r="Q18" s="2" t="n">
        <v>37</v>
      </c>
    </row>
    <row r="19" customFormat="false" ht="15" hidden="false" customHeight="false" outlineLevel="0" collapsed="false">
      <c r="A19" s="2" t="n">
        <v>4919867</v>
      </c>
      <c r="B19" s="3" t="n">
        <v>38771</v>
      </c>
      <c r="C19" s="2" t="s">
        <v>30</v>
      </c>
      <c r="D19" s="2" t="n">
        <v>1006965226</v>
      </c>
      <c r="E19" s="2" t="s">
        <v>18</v>
      </c>
      <c r="F19" s="2" t="s">
        <v>19</v>
      </c>
      <c r="G19" s="2" t="s">
        <v>20</v>
      </c>
      <c r="H19" s="2" t="s">
        <v>125</v>
      </c>
      <c r="I19" s="2"/>
      <c r="J19" s="2" t="s">
        <v>169</v>
      </c>
      <c r="K19" s="2"/>
      <c r="L19" s="2"/>
      <c r="M19" s="2" t="s">
        <v>168</v>
      </c>
      <c r="N19" s="2" t="n">
        <v>5986510</v>
      </c>
      <c r="O19" s="2" t="s">
        <v>26</v>
      </c>
      <c r="P19" s="2" t="s">
        <v>27</v>
      </c>
      <c r="Q19" s="2" t="n">
        <v>37</v>
      </c>
    </row>
    <row r="20" customFormat="false" ht="15" hidden="false" customHeight="false" outlineLevel="0" collapsed="false">
      <c r="A20" s="2" t="n">
        <v>4937472</v>
      </c>
      <c r="B20" s="3" t="n">
        <v>38785</v>
      </c>
      <c r="C20" s="2" t="s">
        <v>30</v>
      </c>
      <c r="D20" s="2" t="n">
        <v>1007029875</v>
      </c>
      <c r="E20" s="2" t="s">
        <v>18</v>
      </c>
      <c r="F20" s="2" t="s">
        <v>19</v>
      </c>
      <c r="G20" s="2" t="s">
        <v>20</v>
      </c>
      <c r="H20" s="2" t="s">
        <v>21</v>
      </c>
      <c r="I20" s="2" t="s">
        <v>22</v>
      </c>
      <c r="J20" s="2" t="s">
        <v>91</v>
      </c>
      <c r="K20" s="2"/>
      <c r="L20" s="2" t="s">
        <v>24</v>
      </c>
      <c r="M20" s="2" t="s">
        <v>168</v>
      </c>
      <c r="N20" s="2" t="n">
        <v>5986510</v>
      </c>
      <c r="O20" s="2" t="s">
        <v>26</v>
      </c>
      <c r="P20" s="2" t="s">
        <v>27</v>
      </c>
      <c r="Q20" s="2" t="n">
        <v>37</v>
      </c>
    </row>
    <row r="21" customFormat="false" ht="15" hidden="false" customHeight="false" outlineLevel="0" collapsed="false">
      <c r="A21" s="2" t="n">
        <v>4914946</v>
      </c>
      <c r="B21" s="3" t="n">
        <v>38765</v>
      </c>
      <c r="C21" s="2" t="s">
        <v>50</v>
      </c>
      <c r="D21" s="2" t="n">
        <v>1006946883</v>
      </c>
      <c r="E21" s="2" t="s">
        <v>51</v>
      </c>
      <c r="F21" s="2"/>
      <c r="G21" s="2" t="s">
        <v>20</v>
      </c>
      <c r="H21" s="2" t="s">
        <v>125</v>
      </c>
      <c r="I21" s="2"/>
      <c r="J21" s="2" t="s">
        <v>56</v>
      </c>
      <c r="K21" s="2"/>
      <c r="L21" s="2"/>
      <c r="M21" s="2" t="s">
        <v>54</v>
      </c>
      <c r="N21" s="2" t="n">
        <v>5986513</v>
      </c>
      <c r="O21" s="2" t="s">
        <v>26</v>
      </c>
      <c r="P21" s="2" t="s">
        <v>55</v>
      </c>
      <c r="Q21" s="2" t="n">
        <v>27</v>
      </c>
    </row>
    <row r="22" customFormat="false" ht="15" hidden="false" customHeight="false" outlineLevel="0" collapsed="false">
      <c r="A22" s="2" t="n">
        <v>4914946</v>
      </c>
      <c r="B22" s="3" t="n">
        <v>38765</v>
      </c>
      <c r="C22" s="2" t="s">
        <v>50</v>
      </c>
      <c r="D22" s="2" t="n">
        <v>1006946884</v>
      </c>
      <c r="E22" s="2" t="s">
        <v>51</v>
      </c>
      <c r="F22" s="2"/>
      <c r="G22" s="2" t="s">
        <v>20</v>
      </c>
      <c r="H22" s="2" t="s">
        <v>125</v>
      </c>
      <c r="I22" s="2"/>
      <c r="J22" s="2" t="s">
        <v>170</v>
      </c>
      <c r="K22" s="2"/>
      <c r="L22" s="2"/>
      <c r="M22" s="2" t="s">
        <v>54</v>
      </c>
      <c r="N22" s="2" t="n">
        <v>5986513</v>
      </c>
      <c r="O22" s="2" t="s">
        <v>26</v>
      </c>
      <c r="P22" s="2" t="s">
        <v>55</v>
      </c>
      <c r="Q22" s="2" t="n">
        <v>27</v>
      </c>
    </row>
    <row r="23" customFormat="false" ht="15" hidden="false" customHeight="false" outlineLevel="0" collapsed="false">
      <c r="A23" s="2" t="n">
        <v>4914951</v>
      </c>
      <c r="B23" s="3" t="n">
        <v>38765</v>
      </c>
      <c r="C23" s="2" t="s">
        <v>30</v>
      </c>
      <c r="D23" s="2" t="n">
        <v>1006946909</v>
      </c>
      <c r="E23" s="2" t="s">
        <v>18</v>
      </c>
      <c r="F23" s="2" t="s">
        <v>19</v>
      </c>
      <c r="G23" s="2" t="s">
        <v>20</v>
      </c>
      <c r="H23" s="2" t="s">
        <v>21</v>
      </c>
      <c r="I23" s="2" t="s">
        <v>22</v>
      </c>
      <c r="J23" s="2" t="s">
        <v>56</v>
      </c>
      <c r="K23" s="2"/>
      <c r="L23" s="2" t="s">
        <v>24</v>
      </c>
      <c r="M23" s="2" t="s">
        <v>171</v>
      </c>
      <c r="N23" s="2" t="n">
        <v>5986517</v>
      </c>
      <c r="O23" s="2" t="s">
        <v>37</v>
      </c>
      <c r="P23" s="2" t="s">
        <v>41</v>
      </c>
      <c r="Q23" s="2" t="n">
        <v>21</v>
      </c>
    </row>
    <row r="24" customFormat="false" ht="15" hidden="false" customHeight="false" outlineLevel="0" collapsed="false">
      <c r="A24" s="2" t="n">
        <v>4914951</v>
      </c>
      <c r="B24" s="3" t="n">
        <v>38765</v>
      </c>
      <c r="C24" s="2" t="s">
        <v>30</v>
      </c>
      <c r="D24" s="2" t="n">
        <v>1006946910</v>
      </c>
      <c r="E24" s="2" t="s">
        <v>18</v>
      </c>
      <c r="F24" s="2" t="s">
        <v>19</v>
      </c>
      <c r="G24" s="2" t="s">
        <v>20</v>
      </c>
      <c r="H24" s="2" t="s">
        <v>125</v>
      </c>
      <c r="I24" s="2" t="s">
        <v>22</v>
      </c>
      <c r="J24" s="2" t="s">
        <v>172</v>
      </c>
      <c r="K24" s="2"/>
      <c r="L24" s="2"/>
      <c r="M24" s="2" t="s">
        <v>171</v>
      </c>
      <c r="N24" s="2" t="n">
        <v>5986517</v>
      </c>
      <c r="O24" s="2" t="s">
        <v>37</v>
      </c>
      <c r="P24" s="2" t="s">
        <v>41</v>
      </c>
      <c r="Q24" s="2" t="n">
        <v>21</v>
      </c>
    </row>
    <row r="25" customFormat="false" ht="15" hidden="false" customHeight="false" outlineLevel="0" collapsed="false">
      <c r="A25" s="2" t="n">
        <v>4993316</v>
      </c>
      <c r="B25" s="3" t="n">
        <v>38842</v>
      </c>
      <c r="C25" s="2" t="s">
        <v>17</v>
      </c>
      <c r="D25" s="2" t="n">
        <v>1007249372</v>
      </c>
      <c r="E25" s="2" t="s">
        <v>18</v>
      </c>
      <c r="F25" s="2" t="s">
        <v>19</v>
      </c>
      <c r="G25" s="2" t="s">
        <v>20</v>
      </c>
      <c r="H25" s="2" t="s">
        <v>125</v>
      </c>
      <c r="I25" s="2" t="s">
        <v>22</v>
      </c>
      <c r="J25" s="2" t="s">
        <v>172</v>
      </c>
      <c r="K25" s="2"/>
      <c r="L25" s="2"/>
      <c r="M25" s="2" t="s">
        <v>57</v>
      </c>
      <c r="N25" s="2" t="n">
        <v>5986517</v>
      </c>
      <c r="O25" s="2" t="s">
        <v>37</v>
      </c>
      <c r="P25" s="2" t="s">
        <v>41</v>
      </c>
      <c r="Q25" s="2" t="n">
        <v>21</v>
      </c>
    </row>
    <row r="26" customFormat="false" ht="15" hidden="false" customHeight="false" outlineLevel="0" collapsed="false">
      <c r="A26" s="2" t="n">
        <v>5106246</v>
      </c>
      <c r="B26" s="3" t="n">
        <v>38978</v>
      </c>
      <c r="C26" s="2" t="s">
        <v>30</v>
      </c>
      <c r="D26" s="2" t="n">
        <v>1007677691</v>
      </c>
      <c r="E26" s="2" t="s">
        <v>18</v>
      </c>
      <c r="F26" s="2" t="s">
        <v>19</v>
      </c>
      <c r="G26" s="2" t="s">
        <v>20</v>
      </c>
      <c r="H26" s="2" t="s">
        <v>21</v>
      </c>
      <c r="I26" s="2" t="s">
        <v>22</v>
      </c>
      <c r="J26" s="2" t="s">
        <v>63</v>
      </c>
      <c r="K26" s="2" t="n">
        <v>300</v>
      </c>
      <c r="L26" s="2" t="s">
        <v>24</v>
      </c>
      <c r="M26" s="2" t="s">
        <v>64</v>
      </c>
      <c r="N26" s="2" t="n">
        <v>6129591</v>
      </c>
      <c r="O26" s="2" t="s">
        <v>37</v>
      </c>
      <c r="P26" s="2" t="s">
        <v>65</v>
      </c>
      <c r="Q26" s="2" t="n">
        <v>54</v>
      </c>
    </row>
    <row r="27" customFormat="false" ht="15" hidden="false" customHeight="false" outlineLevel="0" collapsed="false">
      <c r="A27" s="2" t="n">
        <v>5106246</v>
      </c>
      <c r="B27" s="3" t="n">
        <v>38978</v>
      </c>
      <c r="C27" s="2" t="s">
        <v>30</v>
      </c>
      <c r="D27" s="2" t="n">
        <v>1007677692</v>
      </c>
      <c r="E27" s="2" t="s">
        <v>18</v>
      </c>
      <c r="F27" s="2" t="s">
        <v>19</v>
      </c>
      <c r="G27" s="2" t="s">
        <v>20</v>
      </c>
      <c r="H27" s="2" t="s">
        <v>125</v>
      </c>
      <c r="I27" s="2" t="s">
        <v>22</v>
      </c>
      <c r="J27" s="2" t="s">
        <v>173</v>
      </c>
      <c r="K27" s="2" t="n">
        <v>50</v>
      </c>
      <c r="L27" s="2"/>
      <c r="M27" s="2" t="s">
        <v>64</v>
      </c>
      <c r="N27" s="2" t="n">
        <v>6129591</v>
      </c>
      <c r="O27" s="2" t="s">
        <v>37</v>
      </c>
      <c r="P27" s="2" t="s">
        <v>65</v>
      </c>
      <c r="Q27" s="2" t="n">
        <v>54</v>
      </c>
    </row>
    <row r="28" customFormat="false" ht="15" hidden="false" customHeight="false" outlineLevel="0" collapsed="false">
      <c r="A28" s="2" t="n">
        <v>5106275</v>
      </c>
      <c r="B28" s="3" t="n">
        <v>38978</v>
      </c>
      <c r="C28" s="2" t="s">
        <v>30</v>
      </c>
      <c r="D28" s="2" t="n">
        <v>1007677803</v>
      </c>
      <c r="E28" s="2" t="s">
        <v>18</v>
      </c>
      <c r="F28" s="2" t="s">
        <v>19</v>
      </c>
      <c r="G28" s="2" t="s">
        <v>20</v>
      </c>
      <c r="H28" s="2" t="s">
        <v>125</v>
      </c>
      <c r="I28" s="2" t="s">
        <v>22</v>
      </c>
      <c r="J28" s="2" t="s">
        <v>173</v>
      </c>
      <c r="K28" s="2" t="n">
        <v>50</v>
      </c>
      <c r="L28" s="2"/>
      <c r="M28" s="2" t="s">
        <v>64</v>
      </c>
      <c r="N28" s="2" t="n">
        <v>6129591</v>
      </c>
      <c r="O28" s="2" t="s">
        <v>37</v>
      </c>
      <c r="P28" s="2" t="s">
        <v>65</v>
      </c>
      <c r="Q28" s="2" t="n">
        <v>54</v>
      </c>
    </row>
    <row r="29" customFormat="false" ht="15" hidden="false" customHeight="false" outlineLevel="0" collapsed="false">
      <c r="A29" s="2" t="n">
        <v>5589271</v>
      </c>
      <c r="B29" s="3" t="n">
        <v>39461</v>
      </c>
      <c r="C29" s="2" t="s">
        <v>30</v>
      </c>
      <c r="D29" s="2" t="n">
        <v>1009389498</v>
      </c>
      <c r="E29" s="2" t="s">
        <v>18</v>
      </c>
      <c r="F29" s="2" t="s">
        <v>19</v>
      </c>
      <c r="G29" s="2" t="s">
        <v>20</v>
      </c>
      <c r="H29" s="2" t="s">
        <v>21</v>
      </c>
      <c r="I29" s="2"/>
      <c r="J29" s="2" t="s">
        <v>72</v>
      </c>
      <c r="K29" s="2"/>
      <c r="L29" s="2" t="s">
        <v>24</v>
      </c>
      <c r="M29" s="2" t="s">
        <v>174</v>
      </c>
      <c r="N29" s="2" t="n">
        <v>6525678</v>
      </c>
      <c r="O29" s="2" t="s">
        <v>26</v>
      </c>
      <c r="P29" s="2" t="s">
        <v>27</v>
      </c>
      <c r="Q29" s="2" t="n">
        <v>34</v>
      </c>
    </row>
    <row r="30" customFormat="false" ht="15" hidden="false" customHeight="false" outlineLevel="0" collapsed="false">
      <c r="A30" s="2" t="n">
        <v>5605857</v>
      </c>
      <c r="B30" s="3" t="n">
        <v>39476</v>
      </c>
      <c r="C30" s="2" t="s">
        <v>30</v>
      </c>
      <c r="D30" s="2" t="n">
        <v>1009449338</v>
      </c>
      <c r="E30" s="2" t="s">
        <v>18</v>
      </c>
      <c r="F30" s="2" t="s">
        <v>19</v>
      </c>
      <c r="G30" s="2" t="s">
        <v>20</v>
      </c>
      <c r="H30" s="2" t="s">
        <v>21</v>
      </c>
      <c r="I30" s="2" t="s">
        <v>22</v>
      </c>
      <c r="J30" s="2" t="s">
        <v>175</v>
      </c>
      <c r="K30" s="2"/>
      <c r="L30" s="2" t="s">
        <v>24</v>
      </c>
      <c r="M30" s="2" t="s">
        <v>176</v>
      </c>
      <c r="N30" s="2" t="n">
        <v>6537255</v>
      </c>
      <c r="O30" s="2" t="s">
        <v>26</v>
      </c>
      <c r="P30" s="2" t="s">
        <v>27</v>
      </c>
      <c r="Q30" s="2" t="s">
        <v>33</v>
      </c>
    </row>
    <row r="31" customFormat="false" ht="15" hidden="false" customHeight="false" outlineLevel="0" collapsed="false">
      <c r="A31" s="2" t="n">
        <v>7102719</v>
      </c>
      <c r="B31" s="3" t="n">
        <v>40497</v>
      </c>
      <c r="C31" s="2" t="s">
        <v>30</v>
      </c>
      <c r="D31" s="2" t="n">
        <v>1015114512</v>
      </c>
      <c r="E31" s="2" t="s">
        <v>18</v>
      </c>
      <c r="F31" s="2" t="s">
        <v>19</v>
      </c>
      <c r="G31" s="2" t="s">
        <v>20</v>
      </c>
      <c r="H31" s="2" t="s">
        <v>21</v>
      </c>
      <c r="I31" s="2" t="s">
        <v>22</v>
      </c>
      <c r="J31" s="2" t="s">
        <v>175</v>
      </c>
      <c r="K31" s="2"/>
      <c r="L31" s="2" t="s">
        <v>24</v>
      </c>
      <c r="M31" s="2" t="s">
        <v>78</v>
      </c>
      <c r="N31" s="2" t="n">
        <v>6537255</v>
      </c>
      <c r="O31" s="2" t="s">
        <v>26</v>
      </c>
      <c r="P31" s="2" t="s">
        <v>27</v>
      </c>
      <c r="Q31" s="2" t="s">
        <v>33</v>
      </c>
    </row>
    <row r="32" customFormat="false" ht="15" hidden="false" customHeight="false" outlineLevel="0" collapsed="false">
      <c r="A32" s="2" t="n">
        <v>7102719</v>
      </c>
      <c r="B32" s="3" t="n">
        <v>40497</v>
      </c>
      <c r="C32" s="2" t="s">
        <v>30</v>
      </c>
      <c r="D32" s="2" t="n">
        <v>1015114513</v>
      </c>
      <c r="E32" s="2" t="s">
        <v>18</v>
      </c>
      <c r="F32" s="2" t="s">
        <v>19</v>
      </c>
      <c r="G32" s="2" t="s">
        <v>20</v>
      </c>
      <c r="H32" s="2" t="s">
        <v>125</v>
      </c>
      <c r="I32" s="2" t="s">
        <v>22</v>
      </c>
      <c r="J32" s="2" t="s">
        <v>177</v>
      </c>
      <c r="K32" s="2"/>
      <c r="L32" s="2"/>
      <c r="M32" s="2" t="s">
        <v>78</v>
      </c>
      <c r="N32" s="2" t="n">
        <v>6537255</v>
      </c>
      <c r="O32" s="2" t="s">
        <v>26</v>
      </c>
      <c r="P32" s="2" t="s">
        <v>27</v>
      </c>
      <c r="Q32" s="2" t="s">
        <v>33</v>
      </c>
    </row>
    <row r="33" customFormat="false" ht="15" hidden="false" customHeight="false" outlineLevel="0" collapsed="false">
      <c r="A33" s="2" t="n">
        <v>7128618</v>
      </c>
      <c r="B33" s="3" t="n">
        <v>40512</v>
      </c>
      <c r="C33" s="2" t="s">
        <v>30</v>
      </c>
      <c r="D33" s="2" t="n">
        <v>1015209773</v>
      </c>
      <c r="E33" s="2" t="s">
        <v>18</v>
      </c>
      <c r="F33" s="2" t="s">
        <v>19</v>
      </c>
      <c r="G33" s="2" t="s">
        <v>20</v>
      </c>
      <c r="H33" s="2" t="s">
        <v>125</v>
      </c>
      <c r="I33" s="2" t="s">
        <v>22</v>
      </c>
      <c r="J33" s="2" t="s">
        <v>177</v>
      </c>
      <c r="K33" s="2"/>
      <c r="L33" s="2"/>
      <c r="M33" s="2" t="s">
        <v>78</v>
      </c>
      <c r="N33" s="2" t="n">
        <v>6537255</v>
      </c>
      <c r="O33" s="2" t="s">
        <v>26</v>
      </c>
      <c r="P33" s="2" t="s">
        <v>27</v>
      </c>
      <c r="Q33" s="2" t="s">
        <v>33</v>
      </c>
    </row>
    <row r="34" customFormat="false" ht="15" hidden="false" customHeight="false" outlineLevel="0" collapsed="false">
      <c r="A34" s="2" t="n">
        <v>5810909</v>
      </c>
      <c r="B34" s="3" t="n">
        <v>39645</v>
      </c>
      <c r="C34" s="2" t="s">
        <v>30</v>
      </c>
      <c r="D34" s="2" t="n">
        <v>1010174834</v>
      </c>
      <c r="E34" s="2" t="s">
        <v>18</v>
      </c>
      <c r="F34" s="2" t="s">
        <v>19</v>
      </c>
      <c r="G34" s="2" t="s">
        <v>20</v>
      </c>
      <c r="H34" s="2" t="s">
        <v>125</v>
      </c>
      <c r="I34" s="2"/>
      <c r="J34" s="2" t="s">
        <v>178</v>
      </c>
      <c r="K34" s="2"/>
      <c r="L34" s="2"/>
      <c r="M34" s="2" t="s">
        <v>80</v>
      </c>
      <c r="N34" s="2" t="n">
        <v>6700692</v>
      </c>
      <c r="O34" s="2" t="s">
        <v>26</v>
      </c>
      <c r="P34" s="2" t="s">
        <v>27</v>
      </c>
      <c r="Q34" s="2" t="s">
        <v>33</v>
      </c>
    </row>
    <row r="35" customFormat="false" ht="15" hidden="false" customHeight="false" outlineLevel="0" collapsed="false">
      <c r="A35" s="2" t="n">
        <v>5810909</v>
      </c>
      <c r="B35" s="3" t="n">
        <v>39645</v>
      </c>
      <c r="C35" s="2" t="s">
        <v>30</v>
      </c>
      <c r="D35" s="2" t="n">
        <v>1010174835</v>
      </c>
      <c r="E35" s="2" t="s">
        <v>18</v>
      </c>
      <c r="F35" s="2" t="s">
        <v>19</v>
      </c>
      <c r="G35" s="2" t="s">
        <v>20</v>
      </c>
      <c r="H35" s="2" t="s">
        <v>125</v>
      </c>
      <c r="I35" s="2"/>
      <c r="J35" s="2" t="s">
        <v>178</v>
      </c>
      <c r="K35" s="2"/>
      <c r="L35" s="2"/>
      <c r="M35" s="2" t="s">
        <v>80</v>
      </c>
      <c r="N35" s="2" t="n">
        <v>6700692</v>
      </c>
      <c r="O35" s="2" t="s">
        <v>26</v>
      </c>
      <c r="P35" s="2" t="s">
        <v>27</v>
      </c>
      <c r="Q35" s="2" t="s">
        <v>33</v>
      </c>
    </row>
    <row r="36" customFormat="false" ht="15" hidden="false" customHeight="false" outlineLevel="0" collapsed="false">
      <c r="A36" s="2" t="n">
        <v>5810909</v>
      </c>
      <c r="B36" s="3" t="n">
        <v>39645</v>
      </c>
      <c r="C36" s="2" t="s">
        <v>30</v>
      </c>
      <c r="D36" s="2" t="n">
        <v>1010174836</v>
      </c>
      <c r="E36" s="2" t="s">
        <v>18</v>
      </c>
      <c r="F36" s="2" t="s">
        <v>19</v>
      </c>
      <c r="G36" s="2" t="s">
        <v>20</v>
      </c>
      <c r="H36" s="2" t="s">
        <v>125</v>
      </c>
      <c r="I36" s="2"/>
      <c r="J36" s="2" t="s">
        <v>179</v>
      </c>
      <c r="K36" s="2"/>
      <c r="L36" s="2"/>
      <c r="M36" s="2" t="s">
        <v>80</v>
      </c>
      <c r="N36" s="2" t="n">
        <v>6700692</v>
      </c>
      <c r="O36" s="2" t="s">
        <v>26</v>
      </c>
      <c r="P36" s="2" t="s">
        <v>27</v>
      </c>
      <c r="Q36" s="2" t="s">
        <v>33</v>
      </c>
    </row>
    <row r="37" customFormat="false" ht="15" hidden="false" customHeight="false" outlineLevel="0" collapsed="false">
      <c r="A37" s="2" t="n">
        <v>5810909</v>
      </c>
      <c r="B37" s="3" t="n">
        <v>39645</v>
      </c>
      <c r="C37" s="2" t="s">
        <v>30</v>
      </c>
      <c r="D37" s="2" t="n">
        <v>1010174837</v>
      </c>
      <c r="E37" s="2" t="s">
        <v>18</v>
      </c>
      <c r="F37" s="2" t="s">
        <v>19</v>
      </c>
      <c r="G37" s="2" t="s">
        <v>20</v>
      </c>
      <c r="H37" s="2" t="s">
        <v>125</v>
      </c>
      <c r="I37" s="2"/>
      <c r="J37" s="2" t="s">
        <v>180</v>
      </c>
      <c r="K37" s="2"/>
      <c r="L37" s="2"/>
      <c r="M37" s="2" t="s">
        <v>80</v>
      </c>
      <c r="N37" s="2" t="n">
        <v>6700692</v>
      </c>
      <c r="O37" s="2" t="s">
        <v>26</v>
      </c>
      <c r="P37" s="2" t="s">
        <v>27</v>
      </c>
      <c r="Q37" s="2" t="s">
        <v>33</v>
      </c>
    </row>
    <row r="38" customFormat="false" ht="15" hidden="false" customHeight="false" outlineLevel="0" collapsed="false">
      <c r="A38" s="2" t="n">
        <v>5810909</v>
      </c>
      <c r="B38" s="3" t="n">
        <v>39645</v>
      </c>
      <c r="C38" s="2" t="s">
        <v>30</v>
      </c>
      <c r="D38" s="2" t="n">
        <v>1010174838</v>
      </c>
      <c r="E38" s="2" t="s">
        <v>18</v>
      </c>
      <c r="F38" s="2" t="s">
        <v>19</v>
      </c>
      <c r="G38" s="2" t="s">
        <v>20</v>
      </c>
      <c r="H38" s="2" t="s">
        <v>125</v>
      </c>
      <c r="I38" s="2" t="s">
        <v>22</v>
      </c>
      <c r="J38" s="2" t="s">
        <v>181</v>
      </c>
      <c r="K38" s="2"/>
      <c r="L38" s="2"/>
      <c r="M38" s="2" t="s">
        <v>80</v>
      </c>
      <c r="N38" s="2" t="n">
        <v>6700692</v>
      </c>
      <c r="O38" s="2" t="s">
        <v>26</v>
      </c>
      <c r="P38" s="2" t="s">
        <v>27</v>
      </c>
      <c r="Q38" s="2" t="s">
        <v>33</v>
      </c>
    </row>
    <row r="39" customFormat="false" ht="15" hidden="false" customHeight="false" outlineLevel="0" collapsed="false">
      <c r="A39" s="2" t="n">
        <v>6110221</v>
      </c>
      <c r="B39" s="3" t="n">
        <v>39882</v>
      </c>
      <c r="C39" s="2" t="s">
        <v>30</v>
      </c>
      <c r="D39" s="2" t="n">
        <v>1011247755</v>
      </c>
      <c r="E39" s="2" t="s">
        <v>18</v>
      </c>
      <c r="F39" s="2" t="s">
        <v>19</v>
      </c>
      <c r="G39" s="2" t="s">
        <v>20</v>
      </c>
      <c r="H39" s="2" t="s">
        <v>21</v>
      </c>
      <c r="I39" s="2"/>
      <c r="J39" s="2" t="s">
        <v>89</v>
      </c>
      <c r="K39" s="2"/>
      <c r="L39" s="2" t="s">
        <v>84</v>
      </c>
      <c r="M39" s="2" t="s">
        <v>85</v>
      </c>
      <c r="N39" s="2" t="n">
        <v>6925608</v>
      </c>
      <c r="O39" s="2" t="s">
        <v>26</v>
      </c>
      <c r="P39" s="2" t="s">
        <v>27</v>
      </c>
      <c r="Q39" s="2" t="s">
        <v>33</v>
      </c>
    </row>
    <row r="40" customFormat="false" ht="15" hidden="false" customHeight="false" outlineLevel="0" collapsed="false">
      <c r="A40" s="2" t="n">
        <v>6110221</v>
      </c>
      <c r="B40" s="3" t="n">
        <v>39882</v>
      </c>
      <c r="C40" s="2" t="s">
        <v>30</v>
      </c>
      <c r="D40" s="2" t="n">
        <v>1011247756</v>
      </c>
      <c r="E40" s="2" t="s">
        <v>18</v>
      </c>
      <c r="F40" s="2" t="s">
        <v>19</v>
      </c>
      <c r="G40" s="2" t="s">
        <v>20</v>
      </c>
      <c r="H40" s="2" t="s">
        <v>125</v>
      </c>
      <c r="I40" s="2"/>
      <c r="J40" s="2" t="s">
        <v>182</v>
      </c>
      <c r="K40" s="2" t="n">
        <v>350</v>
      </c>
      <c r="L40" s="2"/>
      <c r="M40" s="2" t="s">
        <v>85</v>
      </c>
      <c r="N40" s="2" t="n">
        <v>6925608</v>
      </c>
      <c r="O40" s="2" t="s">
        <v>26</v>
      </c>
      <c r="P40" s="2" t="s">
        <v>27</v>
      </c>
      <c r="Q40" s="2" t="s">
        <v>33</v>
      </c>
    </row>
    <row r="41" customFormat="false" ht="15" hidden="false" customHeight="false" outlineLevel="0" collapsed="false">
      <c r="A41" s="2" t="n">
        <v>6189977</v>
      </c>
      <c r="B41" s="3" t="n">
        <v>39947</v>
      </c>
      <c r="C41" s="2" t="s">
        <v>30</v>
      </c>
      <c r="D41" s="2" t="n">
        <v>1011571788</v>
      </c>
      <c r="E41" s="2" t="s">
        <v>18</v>
      </c>
      <c r="F41" s="2" t="s">
        <v>19</v>
      </c>
      <c r="G41" s="2" t="s">
        <v>20</v>
      </c>
      <c r="H41" s="2" t="s">
        <v>125</v>
      </c>
      <c r="I41" s="2" t="s">
        <v>22</v>
      </c>
      <c r="J41" s="2" t="s">
        <v>182</v>
      </c>
      <c r="K41" s="2" t="n">
        <v>350</v>
      </c>
      <c r="L41" s="2"/>
      <c r="M41" s="2" t="s">
        <v>85</v>
      </c>
      <c r="N41" s="2" t="n">
        <v>6925608</v>
      </c>
      <c r="O41" s="2" t="s">
        <v>26</v>
      </c>
      <c r="P41" s="2" t="s">
        <v>27</v>
      </c>
      <c r="Q41" s="2" t="s">
        <v>33</v>
      </c>
    </row>
    <row r="42" customFormat="false" ht="15" hidden="false" customHeight="false" outlineLevel="0" collapsed="false">
      <c r="A42" s="2" t="n">
        <v>6249800</v>
      </c>
      <c r="B42" s="3" t="n">
        <v>39993</v>
      </c>
      <c r="C42" s="2" t="s">
        <v>30</v>
      </c>
      <c r="D42" s="2" t="n">
        <v>1011808972</v>
      </c>
      <c r="E42" s="2" t="s">
        <v>18</v>
      </c>
      <c r="F42" s="2" t="s">
        <v>19</v>
      </c>
      <c r="G42" s="2" t="s">
        <v>20</v>
      </c>
      <c r="H42" s="2" t="s">
        <v>125</v>
      </c>
      <c r="I42" s="2"/>
      <c r="J42" s="2" t="s">
        <v>183</v>
      </c>
      <c r="K42" s="2"/>
      <c r="L42" s="2"/>
      <c r="M42" s="2" t="s">
        <v>90</v>
      </c>
      <c r="N42" s="2" t="n">
        <v>7036359</v>
      </c>
      <c r="O42" s="2" t="s">
        <v>26</v>
      </c>
      <c r="P42" s="2" t="s">
        <v>27</v>
      </c>
      <c r="Q42" s="2" t="s">
        <v>33</v>
      </c>
    </row>
    <row r="43" customFormat="false" ht="15" hidden="false" customHeight="false" outlineLevel="0" collapsed="false">
      <c r="A43" s="2" t="n">
        <v>6249800</v>
      </c>
      <c r="B43" s="3" t="n">
        <v>39993</v>
      </c>
      <c r="C43" s="2" t="s">
        <v>30</v>
      </c>
      <c r="D43" s="2" t="n">
        <v>1011808973</v>
      </c>
      <c r="E43" s="2" t="s">
        <v>18</v>
      </c>
      <c r="F43" s="2" t="s">
        <v>19</v>
      </c>
      <c r="G43" s="2" t="s">
        <v>20</v>
      </c>
      <c r="H43" s="2" t="s">
        <v>125</v>
      </c>
      <c r="I43" s="2"/>
      <c r="J43" s="2" t="s">
        <v>184</v>
      </c>
      <c r="K43" s="2"/>
      <c r="L43" s="2"/>
      <c r="M43" s="2" t="s">
        <v>90</v>
      </c>
      <c r="N43" s="2" t="n">
        <v>7036359</v>
      </c>
      <c r="O43" s="2" t="s">
        <v>26</v>
      </c>
      <c r="P43" s="2" t="s">
        <v>27</v>
      </c>
      <c r="Q43" s="2" t="s">
        <v>33</v>
      </c>
    </row>
    <row r="44" customFormat="false" ht="15" hidden="false" customHeight="false" outlineLevel="0" collapsed="false">
      <c r="A44" s="2" t="n">
        <v>6249800</v>
      </c>
      <c r="B44" s="3" t="n">
        <v>39993</v>
      </c>
      <c r="C44" s="2" t="s">
        <v>30</v>
      </c>
      <c r="D44" s="2" t="n">
        <v>1011808974</v>
      </c>
      <c r="E44" s="2" t="s">
        <v>18</v>
      </c>
      <c r="F44" s="2" t="s">
        <v>19</v>
      </c>
      <c r="G44" s="2" t="s">
        <v>20</v>
      </c>
      <c r="H44" s="2" t="s">
        <v>125</v>
      </c>
      <c r="I44" s="2"/>
      <c r="J44" s="2" t="s">
        <v>185</v>
      </c>
      <c r="K44" s="2"/>
      <c r="L44" s="2"/>
      <c r="M44" s="2" t="s">
        <v>90</v>
      </c>
      <c r="N44" s="2" t="n">
        <v>7036359</v>
      </c>
      <c r="O44" s="2" t="s">
        <v>26</v>
      </c>
      <c r="P44" s="2" t="s">
        <v>27</v>
      </c>
      <c r="Q44" s="2" t="s">
        <v>33</v>
      </c>
    </row>
    <row r="45" customFormat="false" ht="15" hidden="false" customHeight="false" outlineLevel="0" collapsed="false">
      <c r="A45" s="2" t="n">
        <v>6249800</v>
      </c>
      <c r="B45" s="3" t="n">
        <v>39993</v>
      </c>
      <c r="C45" s="2" t="s">
        <v>30</v>
      </c>
      <c r="D45" s="2" t="n">
        <v>1011808975</v>
      </c>
      <c r="E45" s="2" t="s">
        <v>18</v>
      </c>
      <c r="F45" s="2" t="s">
        <v>19</v>
      </c>
      <c r="G45" s="2" t="s">
        <v>20</v>
      </c>
      <c r="H45" s="2" t="s">
        <v>125</v>
      </c>
      <c r="I45" s="2"/>
      <c r="J45" s="2" t="s">
        <v>186</v>
      </c>
      <c r="K45" s="2"/>
      <c r="L45" s="2"/>
      <c r="M45" s="2" t="s">
        <v>90</v>
      </c>
      <c r="N45" s="2" t="n">
        <v>7036359</v>
      </c>
      <c r="O45" s="2" t="s">
        <v>26</v>
      </c>
      <c r="P45" s="2" t="s">
        <v>27</v>
      </c>
      <c r="Q45" s="2" t="s">
        <v>33</v>
      </c>
    </row>
    <row r="46" customFormat="false" ht="15" hidden="false" customHeight="false" outlineLevel="0" collapsed="false">
      <c r="A46" s="2" t="n">
        <v>6529324</v>
      </c>
      <c r="B46" s="3" t="n">
        <v>40185</v>
      </c>
      <c r="C46" s="2" t="s">
        <v>30</v>
      </c>
      <c r="D46" s="2" t="n">
        <v>1012909528</v>
      </c>
      <c r="E46" s="2" t="s">
        <v>18</v>
      </c>
      <c r="F46" s="2" t="s">
        <v>19</v>
      </c>
      <c r="G46" s="2" t="s">
        <v>20</v>
      </c>
      <c r="H46" s="2" t="s">
        <v>21</v>
      </c>
      <c r="I46" s="2" t="s">
        <v>22</v>
      </c>
      <c r="J46" s="2" t="s">
        <v>91</v>
      </c>
      <c r="K46" s="2"/>
      <c r="L46" s="2" t="s">
        <v>24</v>
      </c>
      <c r="M46" s="2" t="s">
        <v>92</v>
      </c>
      <c r="N46" s="2" t="n">
        <v>7238980</v>
      </c>
      <c r="O46" s="2" t="s">
        <v>26</v>
      </c>
      <c r="P46" s="2" t="s">
        <v>27</v>
      </c>
      <c r="Q46" s="2" t="s">
        <v>33</v>
      </c>
    </row>
    <row r="47" customFormat="false" ht="15" hidden="false" customHeight="false" outlineLevel="0" collapsed="false">
      <c r="A47" s="2" t="n">
        <v>6529324</v>
      </c>
      <c r="B47" s="3" t="n">
        <v>40185</v>
      </c>
      <c r="C47" s="2" t="s">
        <v>30</v>
      </c>
      <c r="D47" s="2" t="n">
        <v>1012909529</v>
      </c>
      <c r="E47" s="2" t="s">
        <v>18</v>
      </c>
      <c r="F47" s="2" t="s">
        <v>19</v>
      </c>
      <c r="G47" s="2" t="s">
        <v>20</v>
      </c>
      <c r="H47" s="2" t="s">
        <v>125</v>
      </c>
      <c r="I47" s="2" t="s">
        <v>22</v>
      </c>
      <c r="J47" s="2" t="s">
        <v>187</v>
      </c>
      <c r="K47" s="2"/>
      <c r="L47" s="2"/>
      <c r="M47" s="2" t="s">
        <v>92</v>
      </c>
      <c r="N47" s="2" t="n">
        <v>7238980</v>
      </c>
      <c r="O47" s="2" t="s">
        <v>26</v>
      </c>
      <c r="P47" s="2" t="s">
        <v>27</v>
      </c>
      <c r="Q47" s="2" t="s">
        <v>33</v>
      </c>
    </row>
    <row r="48" customFormat="false" ht="15" hidden="false" customHeight="false" outlineLevel="0" collapsed="false">
      <c r="A48" s="2" t="n">
        <v>6529324</v>
      </c>
      <c r="B48" s="3" t="n">
        <v>40185</v>
      </c>
      <c r="C48" s="2" t="s">
        <v>30</v>
      </c>
      <c r="D48" s="2" t="n">
        <v>1012909530</v>
      </c>
      <c r="E48" s="2" t="s">
        <v>18</v>
      </c>
      <c r="F48" s="2" t="s">
        <v>19</v>
      </c>
      <c r="G48" s="2" t="s">
        <v>20</v>
      </c>
      <c r="H48" s="2" t="s">
        <v>125</v>
      </c>
      <c r="I48" s="2" t="s">
        <v>22</v>
      </c>
      <c r="J48" s="2" t="s">
        <v>188</v>
      </c>
      <c r="K48" s="2"/>
      <c r="L48" s="2"/>
      <c r="M48" s="2" t="s">
        <v>92</v>
      </c>
      <c r="N48" s="2" t="n">
        <v>7238980</v>
      </c>
      <c r="O48" s="2" t="s">
        <v>26</v>
      </c>
      <c r="P48" s="2" t="s">
        <v>27</v>
      </c>
      <c r="Q48" s="2" t="s">
        <v>33</v>
      </c>
    </row>
    <row r="49" customFormat="false" ht="15" hidden="false" customHeight="false" outlineLevel="0" collapsed="false">
      <c r="A49" s="2" t="n">
        <v>6529324</v>
      </c>
      <c r="B49" s="3" t="n">
        <v>40185</v>
      </c>
      <c r="C49" s="2" t="s">
        <v>30</v>
      </c>
      <c r="D49" s="2" t="n">
        <v>1012909531</v>
      </c>
      <c r="E49" s="2" t="s">
        <v>18</v>
      </c>
      <c r="F49" s="2" t="s">
        <v>19</v>
      </c>
      <c r="G49" s="2" t="s">
        <v>20</v>
      </c>
      <c r="H49" s="2" t="s">
        <v>125</v>
      </c>
      <c r="I49" s="2" t="s">
        <v>22</v>
      </c>
      <c r="J49" s="2" t="s">
        <v>91</v>
      </c>
      <c r="K49" s="2"/>
      <c r="L49" s="2"/>
      <c r="M49" s="2" t="s">
        <v>92</v>
      </c>
      <c r="N49" s="2" t="n">
        <v>7238980</v>
      </c>
      <c r="O49" s="2" t="s">
        <v>26</v>
      </c>
      <c r="P49" s="2" t="s">
        <v>27</v>
      </c>
      <c r="Q49" s="2" t="s">
        <v>33</v>
      </c>
    </row>
    <row r="50" customFormat="false" ht="15" hidden="false" customHeight="false" outlineLevel="0" collapsed="false">
      <c r="A50" s="2" t="n">
        <v>6539337</v>
      </c>
      <c r="B50" s="3" t="n">
        <v>40193</v>
      </c>
      <c r="C50" s="2" t="s">
        <v>30</v>
      </c>
      <c r="D50" s="2" t="n">
        <v>1012950316</v>
      </c>
      <c r="E50" s="2" t="s">
        <v>18</v>
      </c>
      <c r="F50" s="2" t="s">
        <v>19</v>
      </c>
      <c r="G50" s="2" t="s">
        <v>20</v>
      </c>
      <c r="H50" s="2" t="s">
        <v>125</v>
      </c>
      <c r="I50" s="2" t="s">
        <v>22</v>
      </c>
      <c r="J50" s="2" t="s">
        <v>187</v>
      </c>
      <c r="K50" s="2"/>
      <c r="L50" s="2"/>
      <c r="M50" s="2" t="s">
        <v>92</v>
      </c>
      <c r="N50" s="2" t="n">
        <v>7238980</v>
      </c>
      <c r="O50" s="2" t="s">
        <v>26</v>
      </c>
      <c r="P50" s="2" t="s">
        <v>27</v>
      </c>
      <c r="Q50" s="2" t="s">
        <v>33</v>
      </c>
    </row>
    <row r="51" customFormat="false" ht="15" hidden="false" customHeight="false" outlineLevel="0" collapsed="false">
      <c r="A51" s="2" t="n">
        <v>6539337</v>
      </c>
      <c r="B51" s="3" t="n">
        <v>40193</v>
      </c>
      <c r="C51" s="2" t="s">
        <v>30</v>
      </c>
      <c r="D51" s="2" t="n">
        <v>1012950317</v>
      </c>
      <c r="E51" s="2" t="s">
        <v>18</v>
      </c>
      <c r="F51" s="2" t="s">
        <v>19</v>
      </c>
      <c r="G51" s="2" t="s">
        <v>20</v>
      </c>
      <c r="H51" s="2" t="s">
        <v>125</v>
      </c>
      <c r="I51" s="2" t="s">
        <v>22</v>
      </c>
      <c r="J51" s="2" t="s">
        <v>188</v>
      </c>
      <c r="K51" s="2"/>
      <c r="L51" s="2"/>
      <c r="M51" s="2" t="s">
        <v>92</v>
      </c>
      <c r="N51" s="2" t="n">
        <v>7238980</v>
      </c>
      <c r="O51" s="2" t="s">
        <v>26</v>
      </c>
      <c r="P51" s="2" t="s">
        <v>27</v>
      </c>
      <c r="Q51" s="2" t="s">
        <v>33</v>
      </c>
    </row>
    <row r="52" customFormat="false" ht="15" hidden="false" customHeight="false" outlineLevel="0" collapsed="false">
      <c r="A52" s="2" t="n">
        <v>6539337</v>
      </c>
      <c r="B52" s="3" t="n">
        <v>40193</v>
      </c>
      <c r="C52" s="2" t="s">
        <v>30</v>
      </c>
      <c r="D52" s="2" t="n">
        <v>1012950318</v>
      </c>
      <c r="E52" s="2" t="s">
        <v>18</v>
      </c>
      <c r="F52" s="2" t="s">
        <v>19</v>
      </c>
      <c r="G52" s="2" t="s">
        <v>20</v>
      </c>
      <c r="H52" s="2" t="s">
        <v>125</v>
      </c>
      <c r="I52" s="2" t="s">
        <v>22</v>
      </c>
      <c r="J52" s="2" t="s">
        <v>91</v>
      </c>
      <c r="K52" s="2"/>
      <c r="L52" s="2"/>
      <c r="M52" s="2" t="s">
        <v>92</v>
      </c>
      <c r="N52" s="2" t="n">
        <v>7238980</v>
      </c>
      <c r="O52" s="2" t="s">
        <v>26</v>
      </c>
      <c r="P52" s="2" t="s">
        <v>27</v>
      </c>
      <c r="Q52" s="2" t="s">
        <v>33</v>
      </c>
    </row>
    <row r="53" customFormat="false" ht="15" hidden="false" customHeight="false" outlineLevel="0" collapsed="false">
      <c r="A53" s="2" t="n">
        <v>6751075</v>
      </c>
      <c r="B53" s="3" t="n">
        <v>40331</v>
      </c>
      <c r="C53" s="2" t="s">
        <v>30</v>
      </c>
      <c r="D53" s="2" t="n">
        <v>1013791527</v>
      </c>
      <c r="E53" s="2" t="s">
        <v>18</v>
      </c>
      <c r="F53" s="2" t="s">
        <v>19</v>
      </c>
      <c r="G53" s="2" t="s">
        <v>20</v>
      </c>
      <c r="H53" s="2" t="s">
        <v>21</v>
      </c>
      <c r="I53" s="2"/>
      <c r="J53" s="2" t="s">
        <v>189</v>
      </c>
      <c r="K53" s="2"/>
      <c r="L53" s="2" t="s">
        <v>24</v>
      </c>
      <c r="M53" s="2" t="s">
        <v>190</v>
      </c>
      <c r="N53" s="2" t="n">
        <v>7406766</v>
      </c>
      <c r="O53" s="2" t="s">
        <v>26</v>
      </c>
      <c r="P53" s="2" t="s">
        <v>27</v>
      </c>
      <c r="Q53" s="2" t="s">
        <v>33</v>
      </c>
    </row>
    <row r="54" customFormat="false" ht="15" hidden="false" customHeight="false" outlineLevel="0" collapsed="false">
      <c r="A54" s="2" t="n">
        <v>6783381</v>
      </c>
      <c r="B54" s="3" t="n">
        <v>40351</v>
      </c>
      <c r="C54" s="2" t="s">
        <v>30</v>
      </c>
      <c r="D54" s="2" t="n">
        <v>1013911120</v>
      </c>
      <c r="E54" s="2" t="s">
        <v>18</v>
      </c>
      <c r="F54" s="2" t="s">
        <v>19</v>
      </c>
      <c r="G54" s="2" t="s">
        <v>20</v>
      </c>
      <c r="H54" s="2" t="s">
        <v>21</v>
      </c>
      <c r="I54" s="2"/>
      <c r="J54" s="2" t="s">
        <v>189</v>
      </c>
      <c r="K54" s="2"/>
      <c r="L54" s="2" t="s">
        <v>24</v>
      </c>
      <c r="M54" s="2" t="s">
        <v>94</v>
      </c>
      <c r="N54" s="2" t="n">
        <v>7406766</v>
      </c>
      <c r="O54" s="2" t="s">
        <v>26</v>
      </c>
      <c r="P54" s="2" t="s">
        <v>27</v>
      </c>
      <c r="Q54" s="2" t="s">
        <v>33</v>
      </c>
    </row>
    <row r="55" customFormat="false" ht="15" hidden="false" customHeight="false" outlineLevel="0" collapsed="false">
      <c r="A55" s="2" t="n">
        <v>6849111</v>
      </c>
      <c r="B55" s="3" t="n">
        <v>40375</v>
      </c>
      <c r="C55" s="2" t="s">
        <v>30</v>
      </c>
      <c r="D55" s="2" t="n">
        <v>1014152545</v>
      </c>
      <c r="E55" s="2" t="s">
        <v>18</v>
      </c>
      <c r="F55" s="2" t="s">
        <v>19</v>
      </c>
      <c r="G55" s="2" t="s">
        <v>20</v>
      </c>
      <c r="H55" s="2" t="s">
        <v>125</v>
      </c>
      <c r="I55" s="2"/>
      <c r="J55" s="2" t="s">
        <v>89</v>
      </c>
      <c r="K55" s="2"/>
      <c r="L55" s="2"/>
      <c r="M55" s="2" t="s">
        <v>96</v>
      </c>
      <c r="N55" s="2" t="n">
        <v>7480355</v>
      </c>
      <c r="O55" s="2" t="s">
        <v>26</v>
      </c>
      <c r="P55" s="2" t="s">
        <v>27</v>
      </c>
      <c r="Q55" s="2" t="s">
        <v>33</v>
      </c>
    </row>
    <row r="56" customFormat="false" ht="15" hidden="false" customHeight="false" outlineLevel="0" collapsed="false">
      <c r="A56" s="2" t="n">
        <v>7544172</v>
      </c>
      <c r="B56" s="3" t="n">
        <v>40707</v>
      </c>
      <c r="C56" s="2" t="s">
        <v>30</v>
      </c>
      <c r="D56" s="2" t="n">
        <v>1016745998</v>
      </c>
      <c r="E56" s="2" t="s">
        <v>51</v>
      </c>
      <c r="F56" s="2"/>
      <c r="G56" s="2" t="s">
        <v>20</v>
      </c>
      <c r="H56" s="2" t="s">
        <v>125</v>
      </c>
      <c r="I56" s="2" t="s">
        <v>22</v>
      </c>
      <c r="J56" s="2" t="s">
        <v>191</v>
      </c>
      <c r="K56" s="2"/>
      <c r="L56" s="2"/>
      <c r="M56" s="2" t="s">
        <v>103</v>
      </c>
      <c r="N56" s="2" t="n">
        <v>7988737</v>
      </c>
      <c r="O56" s="2" t="s">
        <v>26</v>
      </c>
      <c r="P56" s="2" t="s">
        <v>27</v>
      </c>
      <c r="Q56" s="2" t="n">
        <v>30</v>
      </c>
    </row>
    <row r="57" customFormat="false" ht="15" hidden="false" customHeight="false" outlineLevel="0" collapsed="false">
      <c r="A57" s="2" t="n">
        <v>7546316</v>
      </c>
      <c r="B57" s="3" t="n">
        <v>40708</v>
      </c>
      <c r="C57" s="2" t="s">
        <v>30</v>
      </c>
      <c r="D57" s="2" t="n">
        <v>1016754295</v>
      </c>
      <c r="E57" s="2" t="s">
        <v>51</v>
      </c>
      <c r="F57" s="2"/>
      <c r="G57" s="2" t="s">
        <v>20</v>
      </c>
      <c r="H57" s="2" t="s">
        <v>125</v>
      </c>
      <c r="I57" s="2"/>
      <c r="J57" s="2"/>
      <c r="K57" s="2"/>
      <c r="L57" s="2"/>
      <c r="M57" s="2" t="s">
        <v>105</v>
      </c>
      <c r="N57" s="2" t="n">
        <v>7990087</v>
      </c>
      <c r="O57" s="2" t="s">
        <v>26</v>
      </c>
      <c r="P57" s="2" t="s">
        <v>27</v>
      </c>
      <c r="Q57" s="2" t="n">
        <v>28</v>
      </c>
    </row>
    <row r="58" customFormat="false" ht="15" hidden="false" customHeight="false" outlineLevel="0" collapsed="false">
      <c r="A58" s="2" t="n">
        <v>7991741</v>
      </c>
      <c r="B58" s="3" t="n">
        <v>40896</v>
      </c>
      <c r="C58" s="2" t="s">
        <v>17</v>
      </c>
      <c r="D58" s="2" t="n">
        <v>1018325843</v>
      </c>
      <c r="E58" s="2" t="s">
        <v>18</v>
      </c>
      <c r="F58" s="2" t="s">
        <v>19</v>
      </c>
      <c r="G58" s="2" t="s">
        <v>20</v>
      </c>
      <c r="H58" s="2" t="s">
        <v>125</v>
      </c>
      <c r="I58" s="2"/>
      <c r="J58" s="2" t="s">
        <v>108</v>
      </c>
      <c r="K58" s="2" t="n">
        <v>200</v>
      </c>
      <c r="L58" s="2"/>
      <c r="M58" s="2" t="s">
        <v>109</v>
      </c>
      <c r="N58" s="2" t="n">
        <v>8299808</v>
      </c>
      <c r="O58" s="2" t="s">
        <v>37</v>
      </c>
      <c r="P58" s="2" t="s">
        <v>27</v>
      </c>
      <c r="Q58" s="2" t="n">
        <v>50</v>
      </c>
    </row>
    <row r="59" customFormat="false" ht="15" hidden="false" customHeight="false" outlineLevel="0" collapsed="false">
      <c r="A59" s="2" t="n">
        <v>8019532</v>
      </c>
      <c r="B59" s="3" t="n">
        <v>40911</v>
      </c>
      <c r="C59" s="2" t="s">
        <v>17</v>
      </c>
      <c r="D59" s="2" t="n">
        <v>1018433259</v>
      </c>
      <c r="E59" s="2" t="s">
        <v>18</v>
      </c>
      <c r="F59" s="2" t="s">
        <v>19</v>
      </c>
      <c r="G59" s="2" t="s">
        <v>20</v>
      </c>
      <c r="H59" s="2" t="s">
        <v>21</v>
      </c>
      <c r="I59" s="2" t="s">
        <v>22</v>
      </c>
      <c r="J59" s="2" t="s">
        <v>110</v>
      </c>
      <c r="K59" s="2"/>
      <c r="L59" s="2" t="s">
        <v>24</v>
      </c>
      <c r="M59" s="2" t="s">
        <v>111</v>
      </c>
      <c r="N59" s="2" t="n">
        <v>8319476</v>
      </c>
      <c r="O59" s="2" t="s">
        <v>26</v>
      </c>
      <c r="P59" s="2" t="s">
        <v>27</v>
      </c>
      <c r="Q59" s="2" t="n">
        <v>34</v>
      </c>
    </row>
    <row r="60" customFormat="false" ht="15" hidden="false" customHeight="false" outlineLevel="0" collapsed="false">
      <c r="A60" s="2" t="n">
        <v>8357290</v>
      </c>
      <c r="B60" s="3" t="n">
        <v>41043</v>
      </c>
      <c r="C60" s="2" t="s">
        <v>30</v>
      </c>
      <c r="D60" s="2" t="n">
        <v>1019685038</v>
      </c>
      <c r="E60" s="2" t="s">
        <v>18</v>
      </c>
      <c r="F60" s="2" t="s">
        <v>19</v>
      </c>
      <c r="G60" s="2" t="s">
        <v>20</v>
      </c>
      <c r="H60" s="2" t="s">
        <v>21</v>
      </c>
      <c r="I60" s="2" t="s">
        <v>22</v>
      </c>
      <c r="J60" s="2" t="s">
        <v>112</v>
      </c>
      <c r="K60" s="2" t="n">
        <v>325</v>
      </c>
      <c r="L60" s="2" t="s">
        <v>24</v>
      </c>
      <c r="M60" s="2" t="s">
        <v>113</v>
      </c>
      <c r="N60" s="2" t="n">
        <v>8560432</v>
      </c>
      <c r="O60" s="2" t="s">
        <v>26</v>
      </c>
      <c r="P60" s="2" t="s">
        <v>41</v>
      </c>
      <c r="Q60" s="2" t="n">
        <v>31</v>
      </c>
    </row>
    <row r="61" customFormat="false" ht="15" hidden="false" customHeight="false" outlineLevel="0" collapsed="false">
      <c r="A61" s="2" t="n">
        <v>87764713</v>
      </c>
      <c r="B61" s="3" t="n">
        <v>41190</v>
      </c>
      <c r="C61" s="2" t="s">
        <v>30</v>
      </c>
      <c r="D61" s="2" t="n">
        <v>877647132</v>
      </c>
      <c r="E61" s="2" t="s">
        <v>18</v>
      </c>
      <c r="F61" s="2" t="s">
        <v>19</v>
      </c>
      <c r="G61" s="2" t="s">
        <v>20</v>
      </c>
      <c r="H61" s="2" t="s">
        <v>125</v>
      </c>
      <c r="I61" s="2"/>
      <c r="J61" s="2" t="s">
        <v>192</v>
      </c>
      <c r="K61" s="2"/>
      <c r="L61" s="2"/>
      <c r="M61" s="2" t="s">
        <v>117</v>
      </c>
      <c r="N61" s="2" t="n">
        <v>8776471</v>
      </c>
      <c r="O61" s="2" t="s">
        <v>26</v>
      </c>
      <c r="P61" s="2" t="s">
        <v>118</v>
      </c>
      <c r="Q61" s="2" t="n">
        <v>25</v>
      </c>
    </row>
    <row r="62" customFormat="false" ht="15" hidden="false" customHeight="false" outlineLevel="0" collapsed="false">
      <c r="A62" s="2" t="n">
        <v>145781652</v>
      </c>
      <c r="B62" s="3" t="n">
        <v>43172</v>
      </c>
      <c r="C62" s="2" t="s">
        <v>30</v>
      </c>
      <c r="D62" s="2" t="n">
        <v>145781652200</v>
      </c>
      <c r="E62" s="2" t="s">
        <v>18</v>
      </c>
      <c r="F62" s="2" t="s">
        <v>19</v>
      </c>
      <c r="G62" s="2" t="s">
        <v>20</v>
      </c>
      <c r="H62" s="2" t="s">
        <v>125</v>
      </c>
      <c r="I62" s="2" t="s">
        <v>129</v>
      </c>
      <c r="J62" s="2" t="s">
        <v>193</v>
      </c>
      <c r="K62" s="2"/>
      <c r="L62" s="2"/>
      <c r="M62" s="2" t="s">
        <v>131</v>
      </c>
      <c r="N62" s="2" t="n">
        <v>14578165</v>
      </c>
      <c r="O62" s="2" t="s">
        <v>26</v>
      </c>
      <c r="P62" s="2" t="s">
        <v>118</v>
      </c>
      <c r="Q62" s="2" t="n">
        <v>20</v>
      </c>
    </row>
    <row r="63" customFormat="false" ht="15" hidden="false" customHeight="false" outlineLevel="0" collapsed="false">
      <c r="A63" s="2" t="n">
        <v>145925201</v>
      </c>
      <c r="B63" s="3" t="n">
        <v>43161</v>
      </c>
      <c r="C63" s="2" t="s">
        <v>34</v>
      </c>
      <c r="D63" s="2" t="n">
        <v>1459252011</v>
      </c>
      <c r="E63" s="2" t="s">
        <v>51</v>
      </c>
      <c r="F63" s="2"/>
      <c r="G63" s="2" t="s">
        <v>20</v>
      </c>
      <c r="H63" s="2" t="s">
        <v>21</v>
      </c>
      <c r="I63" s="2" t="s">
        <v>129</v>
      </c>
      <c r="J63" s="2" t="s">
        <v>132</v>
      </c>
      <c r="K63" s="2"/>
      <c r="L63" s="2" t="s">
        <v>24</v>
      </c>
      <c r="M63" s="2" t="s">
        <v>194</v>
      </c>
      <c r="N63" s="2" t="n">
        <v>14592520</v>
      </c>
      <c r="O63" s="2" t="s">
        <v>37</v>
      </c>
      <c r="P63" s="2" t="s">
        <v>118</v>
      </c>
      <c r="Q63" s="2" t="n">
        <v>51</v>
      </c>
    </row>
    <row r="64" customFormat="false" ht="15" hidden="false" customHeight="false" outlineLevel="0" collapsed="false">
      <c r="A64" s="2" t="n">
        <v>145925201</v>
      </c>
      <c r="B64" s="3" t="n">
        <v>43161</v>
      </c>
      <c r="C64" s="2" t="s">
        <v>34</v>
      </c>
      <c r="D64" s="2" t="n">
        <v>1459252012</v>
      </c>
      <c r="E64" s="2" t="s">
        <v>51</v>
      </c>
      <c r="F64" s="2"/>
      <c r="G64" s="2" t="s">
        <v>20</v>
      </c>
      <c r="H64" s="2" t="s">
        <v>125</v>
      </c>
      <c r="I64" s="2" t="s">
        <v>129</v>
      </c>
      <c r="J64" s="2" t="s">
        <v>195</v>
      </c>
      <c r="K64" s="2"/>
      <c r="L64" s="2"/>
      <c r="M64" s="2" t="s">
        <v>194</v>
      </c>
      <c r="N64" s="2" t="n">
        <v>14592520</v>
      </c>
      <c r="O64" s="2" t="s">
        <v>37</v>
      </c>
      <c r="P64" s="2" t="s">
        <v>118</v>
      </c>
      <c r="Q64" s="2" t="n">
        <v>51</v>
      </c>
    </row>
    <row r="65" customFormat="false" ht="15" hidden="false" customHeight="false" outlineLevel="0" collapsed="false">
      <c r="A65" s="2" t="n">
        <v>145925201</v>
      </c>
      <c r="B65" s="3" t="n">
        <v>43161</v>
      </c>
      <c r="C65" s="2" t="s">
        <v>34</v>
      </c>
      <c r="D65" s="2" t="n">
        <v>1459252013</v>
      </c>
      <c r="E65" s="2" t="s">
        <v>51</v>
      </c>
      <c r="F65" s="2"/>
      <c r="G65" s="2" t="s">
        <v>20</v>
      </c>
      <c r="H65" s="2" t="s">
        <v>125</v>
      </c>
      <c r="I65" s="2"/>
      <c r="J65" s="2" t="s">
        <v>89</v>
      </c>
      <c r="K65" s="2"/>
      <c r="L65" s="2" t="s">
        <v>127</v>
      </c>
      <c r="M65" s="2" t="s">
        <v>194</v>
      </c>
      <c r="N65" s="2" t="n">
        <v>14592520</v>
      </c>
      <c r="O65" s="2" t="s">
        <v>37</v>
      </c>
      <c r="P65" s="2" t="s">
        <v>118</v>
      </c>
      <c r="Q65" s="2" t="n">
        <v>51</v>
      </c>
    </row>
    <row r="66" customFormat="false" ht="15" hidden="false" customHeight="false" outlineLevel="0" collapsed="false">
      <c r="A66" s="2" t="n">
        <v>145925201</v>
      </c>
      <c r="B66" s="3" t="n">
        <v>43161</v>
      </c>
      <c r="C66" s="2" t="s">
        <v>34</v>
      </c>
      <c r="D66" s="2" t="n">
        <v>1459252014</v>
      </c>
      <c r="E66" s="2" t="s">
        <v>51</v>
      </c>
      <c r="F66" s="2"/>
      <c r="G66" s="2" t="s">
        <v>20</v>
      </c>
      <c r="H66" s="2" t="s">
        <v>125</v>
      </c>
      <c r="I66" s="2"/>
      <c r="J66" s="2" t="s">
        <v>89</v>
      </c>
      <c r="K66" s="2"/>
      <c r="L66" s="2"/>
      <c r="M66" s="2" t="s">
        <v>194</v>
      </c>
      <c r="N66" s="2" t="n">
        <v>14592520</v>
      </c>
      <c r="O66" s="2" t="s">
        <v>37</v>
      </c>
      <c r="P66" s="2" t="s">
        <v>118</v>
      </c>
      <c r="Q66" s="2" t="n">
        <v>51</v>
      </c>
    </row>
    <row r="67" customFormat="false" ht="15" hidden="false" customHeight="false" outlineLevel="0" collapsed="false">
      <c r="A67" s="2" t="n">
        <v>145925201</v>
      </c>
      <c r="B67" s="3" t="n">
        <v>43161</v>
      </c>
      <c r="C67" s="2" t="s">
        <v>34</v>
      </c>
      <c r="D67" s="2" t="n">
        <v>1459252015</v>
      </c>
      <c r="E67" s="2" t="s">
        <v>51</v>
      </c>
      <c r="F67" s="2"/>
      <c r="G67" s="2" t="s">
        <v>20</v>
      </c>
      <c r="H67" s="2" t="s">
        <v>125</v>
      </c>
      <c r="I67" s="2"/>
      <c r="J67" s="2" t="s">
        <v>89</v>
      </c>
      <c r="K67" s="2"/>
      <c r="L67" s="2"/>
      <c r="M67" s="2" t="s">
        <v>194</v>
      </c>
      <c r="N67" s="2" t="n">
        <v>14592520</v>
      </c>
      <c r="O67" s="2" t="s">
        <v>37</v>
      </c>
      <c r="P67" s="2" t="s">
        <v>118</v>
      </c>
      <c r="Q67" s="2" t="n">
        <v>51</v>
      </c>
    </row>
    <row r="68" customFormat="false" ht="15" hidden="false" customHeight="false" outlineLevel="0" collapsed="false">
      <c r="A68" s="2" t="n">
        <v>145925202</v>
      </c>
      <c r="B68" s="3" t="n">
        <v>43308</v>
      </c>
      <c r="C68" s="2" t="s">
        <v>34</v>
      </c>
      <c r="D68" s="2" t="n">
        <v>1459252021</v>
      </c>
      <c r="E68" s="2" t="s">
        <v>51</v>
      </c>
      <c r="F68" s="2"/>
      <c r="G68" s="2" t="s">
        <v>20</v>
      </c>
      <c r="H68" s="2" t="s">
        <v>21</v>
      </c>
      <c r="I68" s="2" t="s">
        <v>129</v>
      </c>
      <c r="J68" s="2" t="s">
        <v>132</v>
      </c>
      <c r="K68" s="2"/>
      <c r="L68" s="2" t="s">
        <v>24</v>
      </c>
      <c r="M68" s="2" t="s">
        <v>196</v>
      </c>
      <c r="N68" s="2" t="n">
        <v>14592520</v>
      </c>
      <c r="O68" s="2" t="s">
        <v>37</v>
      </c>
      <c r="P68" s="2" t="s">
        <v>118</v>
      </c>
      <c r="Q68" s="2" t="n">
        <v>51</v>
      </c>
    </row>
    <row r="69" customFormat="false" ht="15" hidden="false" customHeight="false" outlineLevel="0" collapsed="false">
      <c r="A69" s="2" t="n">
        <v>145925202</v>
      </c>
      <c r="B69" s="3" t="n">
        <v>43308</v>
      </c>
      <c r="C69" s="2" t="s">
        <v>34</v>
      </c>
      <c r="D69" s="2" t="n">
        <v>1459252022</v>
      </c>
      <c r="E69" s="2" t="s">
        <v>51</v>
      </c>
      <c r="F69" s="2"/>
      <c r="G69" s="2" t="s">
        <v>20</v>
      </c>
      <c r="H69" s="2" t="s">
        <v>125</v>
      </c>
      <c r="I69" s="2" t="s">
        <v>129</v>
      </c>
      <c r="J69" s="2" t="s">
        <v>195</v>
      </c>
      <c r="K69" s="2"/>
      <c r="L69" s="2"/>
      <c r="M69" s="2" t="s">
        <v>196</v>
      </c>
      <c r="N69" s="2" t="n">
        <v>14592520</v>
      </c>
      <c r="O69" s="2" t="s">
        <v>37</v>
      </c>
      <c r="P69" s="2" t="s">
        <v>118</v>
      </c>
      <c r="Q69" s="2" t="n">
        <v>51</v>
      </c>
    </row>
    <row r="70" customFormat="false" ht="15" hidden="false" customHeight="false" outlineLevel="0" collapsed="false">
      <c r="A70" s="2" t="n">
        <v>145925202</v>
      </c>
      <c r="B70" s="3" t="n">
        <v>43308</v>
      </c>
      <c r="C70" s="2" t="s">
        <v>34</v>
      </c>
      <c r="D70" s="2" t="n">
        <v>1459252023</v>
      </c>
      <c r="E70" s="2" t="s">
        <v>51</v>
      </c>
      <c r="F70" s="2"/>
      <c r="G70" s="2" t="s">
        <v>20</v>
      </c>
      <c r="H70" s="2" t="s">
        <v>125</v>
      </c>
      <c r="I70" s="2"/>
      <c r="J70" s="2" t="s">
        <v>89</v>
      </c>
      <c r="K70" s="2"/>
      <c r="L70" s="2" t="s">
        <v>127</v>
      </c>
      <c r="M70" s="2" t="s">
        <v>196</v>
      </c>
      <c r="N70" s="2" t="n">
        <v>14592520</v>
      </c>
      <c r="O70" s="2" t="s">
        <v>37</v>
      </c>
      <c r="P70" s="2" t="s">
        <v>118</v>
      </c>
      <c r="Q70" s="2" t="n">
        <v>51</v>
      </c>
    </row>
    <row r="71" customFormat="false" ht="15" hidden="false" customHeight="false" outlineLevel="0" collapsed="false">
      <c r="A71" s="2" t="n">
        <v>145925202</v>
      </c>
      <c r="B71" s="3" t="n">
        <v>43308</v>
      </c>
      <c r="C71" s="2" t="s">
        <v>34</v>
      </c>
      <c r="D71" s="2" t="n">
        <v>1459252024</v>
      </c>
      <c r="E71" s="2" t="s">
        <v>51</v>
      </c>
      <c r="F71" s="2"/>
      <c r="G71" s="2" t="s">
        <v>20</v>
      </c>
      <c r="H71" s="2" t="s">
        <v>125</v>
      </c>
      <c r="I71" s="2"/>
      <c r="J71" s="2" t="s">
        <v>89</v>
      </c>
      <c r="K71" s="2"/>
      <c r="L71" s="2"/>
      <c r="M71" s="2" t="s">
        <v>196</v>
      </c>
      <c r="N71" s="2" t="n">
        <v>14592520</v>
      </c>
      <c r="O71" s="2" t="s">
        <v>37</v>
      </c>
      <c r="P71" s="2" t="s">
        <v>118</v>
      </c>
      <c r="Q71" s="2" t="n">
        <v>51</v>
      </c>
    </row>
    <row r="72" customFormat="false" ht="15" hidden="false" customHeight="false" outlineLevel="0" collapsed="false">
      <c r="A72" s="2" t="n">
        <v>145925202</v>
      </c>
      <c r="B72" s="3" t="n">
        <v>43308</v>
      </c>
      <c r="C72" s="2" t="s">
        <v>34</v>
      </c>
      <c r="D72" s="2" t="n">
        <v>1459252025</v>
      </c>
      <c r="E72" s="2" t="s">
        <v>51</v>
      </c>
      <c r="F72" s="2"/>
      <c r="G72" s="2" t="s">
        <v>20</v>
      </c>
      <c r="H72" s="2" t="s">
        <v>125</v>
      </c>
      <c r="I72" s="2"/>
      <c r="J72" s="2" t="s">
        <v>89</v>
      </c>
      <c r="K72" s="2"/>
      <c r="L72" s="2"/>
      <c r="M72" s="2" t="s">
        <v>196</v>
      </c>
      <c r="N72" s="2" t="n">
        <v>14592520</v>
      </c>
      <c r="O72" s="2" t="s">
        <v>37</v>
      </c>
      <c r="P72" s="2" t="s">
        <v>118</v>
      </c>
      <c r="Q72" s="2" t="n">
        <v>51</v>
      </c>
    </row>
    <row r="73" customFormat="false" ht="15" hidden="false" customHeight="false" outlineLevel="0" collapsed="false">
      <c r="A73" s="2" t="n">
        <v>145925203</v>
      </c>
      <c r="B73" s="3" t="n">
        <v>43452</v>
      </c>
      <c r="C73" s="2" t="s">
        <v>34</v>
      </c>
      <c r="D73" s="2" t="n">
        <v>1459252032</v>
      </c>
      <c r="E73" s="2" t="s">
        <v>51</v>
      </c>
      <c r="F73" s="2"/>
      <c r="G73" s="2" t="s">
        <v>20</v>
      </c>
      <c r="H73" s="2" t="s">
        <v>125</v>
      </c>
      <c r="I73" s="2" t="s">
        <v>129</v>
      </c>
      <c r="J73" s="2" t="s">
        <v>197</v>
      </c>
      <c r="K73" s="2"/>
      <c r="L73" s="2"/>
      <c r="M73" s="2" t="s">
        <v>133</v>
      </c>
      <c r="N73" s="2" t="n">
        <v>14592520</v>
      </c>
      <c r="O73" s="2" t="s">
        <v>37</v>
      </c>
      <c r="P73" s="2" t="s">
        <v>118</v>
      </c>
      <c r="Q73" s="2" t="n">
        <v>51</v>
      </c>
    </row>
    <row r="74" customFormat="false" ht="15" hidden="false" customHeight="false" outlineLevel="0" collapsed="false">
      <c r="A74" s="2" t="n">
        <v>145925203</v>
      </c>
      <c r="B74" s="3" t="n">
        <v>43452</v>
      </c>
      <c r="C74" s="2" t="s">
        <v>34</v>
      </c>
      <c r="D74" s="2" t="n">
        <v>1459252033</v>
      </c>
      <c r="E74" s="2" t="s">
        <v>51</v>
      </c>
      <c r="F74" s="2"/>
      <c r="G74" s="2" t="s">
        <v>20</v>
      </c>
      <c r="H74" s="2" t="s">
        <v>125</v>
      </c>
      <c r="I74" s="2" t="s">
        <v>129</v>
      </c>
      <c r="J74" s="2" t="s">
        <v>195</v>
      </c>
      <c r="K74" s="2"/>
      <c r="L74" s="2"/>
      <c r="M74" s="2" t="s">
        <v>133</v>
      </c>
      <c r="N74" s="2" t="n">
        <v>14592520</v>
      </c>
      <c r="O74" s="2" t="s">
        <v>37</v>
      </c>
      <c r="P74" s="2" t="s">
        <v>118</v>
      </c>
      <c r="Q74" s="2" t="n">
        <v>51</v>
      </c>
    </row>
    <row r="75" customFormat="false" ht="15" hidden="false" customHeight="false" outlineLevel="0" collapsed="false">
      <c r="A75" s="2" t="n">
        <v>145925203</v>
      </c>
      <c r="B75" s="3" t="n">
        <v>43452</v>
      </c>
      <c r="C75" s="2" t="s">
        <v>34</v>
      </c>
      <c r="D75" s="2" t="n">
        <v>1459252034</v>
      </c>
      <c r="E75" s="2" t="s">
        <v>51</v>
      </c>
      <c r="F75" s="2"/>
      <c r="G75" s="2" t="s">
        <v>20</v>
      </c>
      <c r="H75" s="2" t="s">
        <v>125</v>
      </c>
      <c r="I75" s="2"/>
      <c r="J75" s="2" t="s">
        <v>89</v>
      </c>
      <c r="K75" s="2"/>
      <c r="L75" s="2" t="s">
        <v>127</v>
      </c>
      <c r="M75" s="2" t="s">
        <v>133</v>
      </c>
      <c r="N75" s="2" t="n">
        <v>14592520</v>
      </c>
      <c r="O75" s="2" t="s">
        <v>37</v>
      </c>
      <c r="P75" s="2" t="s">
        <v>118</v>
      </c>
      <c r="Q75" s="2" t="n">
        <v>51</v>
      </c>
    </row>
    <row r="76" customFormat="false" ht="15" hidden="false" customHeight="false" outlineLevel="0" collapsed="false">
      <c r="A76" s="2" t="n">
        <v>145925203</v>
      </c>
      <c r="B76" s="3" t="n">
        <v>43452</v>
      </c>
      <c r="C76" s="2" t="s">
        <v>34</v>
      </c>
      <c r="D76" s="2" t="n">
        <v>1459252035</v>
      </c>
      <c r="E76" s="2" t="s">
        <v>51</v>
      </c>
      <c r="F76" s="2"/>
      <c r="G76" s="2" t="s">
        <v>20</v>
      </c>
      <c r="H76" s="2" t="s">
        <v>125</v>
      </c>
      <c r="I76" s="2"/>
      <c r="J76" s="2" t="s">
        <v>89</v>
      </c>
      <c r="K76" s="2"/>
      <c r="L76" s="2"/>
      <c r="M76" s="2" t="s">
        <v>133</v>
      </c>
      <c r="N76" s="2" t="n">
        <v>14592520</v>
      </c>
      <c r="O76" s="2" t="s">
        <v>37</v>
      </c>
      <c r="P76" s="2" t="s">
        <v>118</v>
      </c>
      <c r="Q76" s="2" t="n">
        <v>51</v>
      </c>
    </row>
    <row r="77" customFormat="false" ht="15" hidden="false" customHeight="false" outlineLevel="0" collapsed="false">
      <c r="A77" s="2" t="n">
        <v>145925203</v>
      </c>
      <c r="B77" s="3" t="n">
        <v>43452</v>
      </c>
      <c r="C77" s="2" t="s">
        <v>34</v>
      </c>
      <c r="D77" s="2" t="n">
        <v>1459252036</v>
      </c>
      <c r="E77" s="2" t="s">
        <v>51</v>
      </c>
      <c r="F77" s="2"/>
      <c r="G77" s="2" t="s">
        <v>20</v>
      </c>
      <c r="H77" s="2" t="s">
        <v>125</v>
      </c>
      <c r="I77" s="2"/>
      <c r="J77" s="2" t="s">
        <v>89</v>
      </c>
      <c r="K77" s="2"/>
      <c r="L77" s="2"/>
      <c r="M77" s="2" t="s">
        <v>133</v>
      </c>
      <c r="N77" s="2" t="n">
        <v>14592520</v>
      </c>
      <c r="O77" s="2" t="s">
        <v>37</v>
      </c>
      <c r="P77" s="2" t="s">
        <v>118</v>
      </c>
      <c r="Q77" s="2" t="n">
        <v>51</v>
      </c>
    </row>
    <row r="78" customFormat="false" ht="15" hidden="false" customHeight="false" outlineLevel="0" collapsed="false">
      <c r="A78" s="2" t="n">
        <v>147344992</v>
      </c>
      <c r="B78" s="3" t="n">
        <v>43227</v>
      </c>
      <c r="C78" s="2" t="s">
        <v>30</v>
      </c>
      <c r="D78" s="2" t="n">
        <v>1473449922</v>
      </c>
      <c r="E78" s="2" t="s">
        <v>51</v>
      </c>
      <c r="F78" s="2"/>
      <c r="G78" s="2" t="s">
        <v>20</v>
      </c>
      <c r="H78" s="2" t="s">
        <v>125</v>
      </c>
      <c r="I78" s="2"/>
      <c r="J78" s="2" t="s">
        <v>132</v>
      </c>
      <c r="K78" s="2"/>
      <c r="L78" s="2"/>
      <c r="M78" s="2" t="s">
        <v>135</v>
      </c>
      <c r="N78" s="2" t="n">
        <v>14734499</v>
      </c>
      <c r="O78" s="2" t="s">
        <v>26</v>
      </c>
      <c r="P78" s="2" t="s">
        <v>118</v>
      </c>
      <c r="Q78" s="2" t="s">
        <v>33</v>
      </c>
    </row>
    <row r="79" customFormat="false" ht="15" hidden="false" customHeight="false" outlineLevel="0" collapsed="false">
      <c r="A79" s="2" t="n">
        <v>211959223</v>
      </c>
      <c r="B79" s="3" t="n">
        <v>45103</v>
      </c>
      <c r="C79" s="2" t="s">
        <v>30</v>
      </c>
      <c r="D79" s="2" t="n">
        <v>211959223200</v>
      </c>
      <c r="E79" s="2" t="s">
        <v>18</v>
      </c>
      <c r="F79" s="2" t="s">
        <v>19</v>
      </c>
      <c r="G79" s="2" t="s">
        <v>20</v>
      </c>
      <c r="H79" s="2" t="s">
        <v>125</v>
      </c>
      <c r="I79" s="2" t="s">
        <v>129</v>
      </c>
      <c r="J79" s="2" t="s">
        <v>198</v>
      </c>
      <c r="K79" s="2" t="n">
        <v>450</v>
      </c>
      <c r="L79" s="2"/>
      <c r="M79" s="2" t="s">
        <v>145</v>
      </c>
      <c r="N79" s="2" t="n">
        <v>21195922</v>
      </c>
      <c r="O79" s="2" t="s">
        <v>26</v>
      </c>
      <c r="P79" s="2" t="s">
        <v>118</v>
      </c>
      <c r="Q79" s="2" t="s">
        <v>33</v>
      </c>
    </row>
    <row r="80" customFormat="false" ht="15" hidden="false" customHeight="false" outlineLevel="0" collapsed="false">
      <c r="A80" s="2" t="n">
        <v>213596031</v>
      </c>
      <c r="B80" s="3" t="n">
        <v>44825</v>
      </c>
      <c r="C80" s="2" t="s">
        <v>30</v>
      </c>
      <c r="D80" s="2" t="n">
        <v>213596031300</v>
      </c>
      <c r="E80" s="2" t="s">
        <v>51</v>
      </c>
      <c r="F80" s="2"/>
      <c r="G80" s="2" t="s">
        <v>20</v>
      </c>
      <c r="H80" s="2" t="s">
        <v>125</v>
      </c>
      <c r="I80" s="2" t="s">
        <v>129</v>
      </c>
      <c r="J80" s="2"/>
      <c r="K80" s="2"/>
      <c r="L80" s="2" t="s">
        <v>127</v>
      </c>
      <c r="M80" s="2" t="s">
        <v>146</v>
      </c>
      <c r="N80" s="2" t="n">
        <v>21359603</v>
      </c>
      <c r="O80" s="2" t="s">
        <v>37</v>
      </c>
      <c r="P80" s="2" t="s">
        <v>118</v>
      </c>
      <c r="Q80" s="2" t="n">
        <v>48</v>
      </c>
    </row>
    <row r="81" customFormat="false" ht="15" hidden="false" customHeight="false" outlineLevel="0" collapsed="false">
      <c r="A81" s="2" t="n">
        <v>213596031</v>
      </c>
      <c r="B81" s="3" t="n">
        <v>44825</v>
      </c>
      <c r="C81" s="2" t="s">
        <v>30</v>
      </c>
      <c r="D81" s="2" t="n">
        <v>213596031400</v>
      </c>
      <c r="E81" s="2" t="s">
        <v>51</v>
      </c>
      <c r="F81" s="2"/>
      <c r="G81" s="2" t="s">
        <v>20</v>
      </c>
      <c r="H81" s="2" t="s">
        <v>125</v>
      </c>
      <c r="I81" s="2"/>
      <c r="J81" s="2"/>
      <c r="K81" s="2"/>
      <c r="L81" s="2"/>
      <c r="M81" s="2" t="s">
        <v>146</v>
      </c>
      <c r="N81" s="2" t="n">
        <v>21359603</v>
      </c>
      <c r="O81" s="2" t="s">
        <v>37</v>
      </c>
      <c r="P81" s="2" t="s">
        <v>118</v>
      </c>
      <c r="Q81" s="2" t="n">
        <v>48</v>
      </c>
    </row>
    <row r="82" customFormat="false" ht="15" hidden="false" customHeight="false" outlineLevel="0" collapsed="false">
      <c r="A82" s="2" t="n">
        <v>213596031</v>
      </c>
      <c r="B82" s="3" t="n">
        <v>44825</v>
      </c>
      <c r="C82" s="2" t="s">
        <v>30</v>
      </c>
      <c r="D82" s="2" t="n">
        <v>213596031500</v>
      </c>
      <c r="E82" s="2" t="s">
        <v>51</v>
      </c>
      <c r="F82" s="2"/>
      <c r="G82" s="2" t="s">
        <v>20</v>
      </c>
      <c r="H82" s="2" t="s">
        <v>125</v>
      </c>
      <c r="I82" s="2" t="s">
        <v>129</v>
      </c>
      <c r="J82" s="2"/>
      <c r="K82" s="2"/>
      <c r="L82" s="2"/>
      <c r="M82" s="2" t="s">
        <v>146</v>
      </c>
      <c r="N82" s="2" t="n">
        <v>21359603</v>
      </c>
      <c r="O82" s="2" t="s">
        <v>37</v>
      </c>
      <c r="P82" s="2" t="s">
        <v>118</v>
      </c>
      <c r="Q82" s="2" t="n">
        <v>48</v>
      </c>
    </row>
    <row r="83" customFormat="false" ht="15" hidden="false" customHeight="false" outlineLevel="0" collapsed="false">
      <c r="A83" s="2" t="n">
        <v>213596031</v>
      </c>
      <c r="B83" s="3" t="n">
        <v>44825</v>
      </c>
      <c r="C83" s="2" t="s">
        <v>30</v>
      </c>
      <c r="D83" s="2" t="n">
        <v>213596031800</v>
      </c>
      <c r="E83" s="2" t="s">
        <v>51</v>
      </c>
      <c r="F83" s="2"/>
      <c r="G83" s="2" t="s">
        <v>20</v>
      </c>
      <c r="H83" s="2" t="s">
        <v>125</v>
      </c>
      <c r="I83" s="2"/>
      <c r="J83" s="2"/>
      <c r="K83" s="2"/>
      <c r="L83" s="2" t="s">
        <v>127</v>
      </c>
      <c r="M83" s="2" t="s">
        <v>146</v>
      </c>
      <c r="N83" s="2" t="n">
        <v>21359603</v>
      </c>
      <c r="O83" s="2" t="s">
        <v>37</v>
      </c>
      <c r="P83" s="2" t="s">
        <v>118</v>
      </c>
      <c r="Q83" s="2" t="n">
        <v>48</v>
      </c>
    </row>
    <row r="84" customFormat="false" ht="15" hidden="false" customHeight="false" outlineLevel="0" collapsed="false">
      <c r="A84" s="2" t="n">
        <v>217417551</v>
      </c>
      <c r="B84" s="3" t="n">
        <v>44911</v>
      </c>
      <c r="C84" s="2" t="s">
        <v>34</v>
      </c>
      <c r="D84" s="2" t="n">
        <v>217417551200</v>
      </c>
      <c r="E84" s="2" t="s">
        <v>51</v>
      </c>
      <c r="F84" s="2"/>
      <c r="G84" s="2" t="s">
        <v>20</v>
      </c>
      <c r="H84" s="2" t="s">
        <v>125</v>
      </c>
      <c r="I84" s="2"/>
      <c r="J84" s="2" t="s">
        <v>199</v>
      </c>
      <c r="K84" s="2"/>
      <c r="L84" s="2"/>
      <c r="M84" s="2" t="s">
        <v>147</v>
      </c>
      <c r="N84" s="2" t="n">
        <v>21741755</v>
      </c>
      <c r="O84" s="2" t="s">
        <v>37</v>
      </c>
      <c r="P84" s="2" t="s">
        <v>118</v>
      </c>
      <c r="Q84" s="2" t="n">
        <v>58</v>
      </c>
    </row>
    <row r="85" customFormat="false" ht="15" hidden="false" customHeight="false" outlineLevel="0" collapsed="false">
      <c r="A85" s="2" t="n">
        <v>217417551</v>
      </c>
      <c r="B85" s="3" t="n">
        <v>44911</v>
      </c>
      <c r="C85" s="2" t="s">
        <v>34</v>
      </c>
      <c r="D85" s="2" t="n">
        <v>217417551300</v>
      </c>
      <c r="E85" s="2" t="s">
        <v>51</v>
      </c>
      <c r="F85" s="2"/>
      <c r="G85" s="2" t="s">
        <v>20</v>
      </c>
      <c r="H85" s="2" t="s">
        <v>125</v>
      </c>
      <c r="I85" s="2"/>
      <c r="J85" s="2" t="s">
        <v>200</v>
      </c>
      <c r="K85" s="2"/>
      <c r="L85" s="2"/>
      <c r="M85" s="2" t="s">
        <v>147</v>
      </c>
      <c r="N85" s="2" t="n">
        <v>21741755</v>
      </c>
      <c r="O85" s="2" t="s">
        <v>37</v>
      </c>
      <c r="P85" s="2" t="s">
        <v>118</v>
      </c>
      <c r="Q85" s="2" t="n">
        <v>58</v>
      </c>
    </row>
    <row r="86" customFormat="false" ht="15" hidden="false" customHeight="false" outlineLevel="0" collapsed="false">
      <c r="A86" s="2" t="n">
        <v>235923411</v>
      </c>
      <c r="B86" s="3" t="n">
        <v>45355</v>
      </c>
      <c r="C86" s="2" t="s">
        <v>17</v>
      </c>
      <c r="D86" s="2" t="n">
        <v>235923411200</v>
      </c>
      <c r="E86" s="2" t="s">
        <v>18</v>
      </c>
      <c r="F86" s="2" t="s">
        <v>19</v>
      </c>
      <c r="G86" s="2" t="s">
        <v>20</v>
      </c>
      <c r="H86" s="2" t="s">
        <v>125</v>
      </c>
      <c r="I86" s="2" t="s">
        <v>129</v>
      </c>
      <c r="J86" s="2" t="s">
        <v>89</v>
      </c>
      <c r="K86" s="2"/>
      <c r="L86" s="2"/>
      <c r="M86" s="2" t="s">
        <v>148</v>
      </c>
      <c r="N86" s="2" t="n">
        <v>23592341</v>
      </c>
      <c r="O86" s="2" t="s">
        <v>37</v>
      </c>
      <c r="P86" s="2" t="s">
        <v>118</v>
      </c>
      <c r="Q86" s="2" t="n">
        <v>71</v>
      </c>
    </row>
    <row r="87" customFormat="false" ht="15" hidden="false" customHeight="false" outlineLevel="0" collapsed="false">
      <c r="A87" s="2" t="n">
        <v>236310311</v>
      </c>
      <c r="B87" s="3" t="n">
        <v>45365</v>
      </c>
      <c r="C87" s="2" t="s">
        <v>30</v>
      </c>
      <c r="D87" s="2" t="n">
        <v>236310311300</v>
      </c>
      <c r="E87" s="2" t="s">
        <v>51</v>
      </c>
      <c r="F87" s="2"/>
      <c r="G87" s="2" t="s">
        <v>20</v>
      </c>
      <c r="H87" s="2" t="s">
        <v>125</v>
      </c>
      <c r="I87" s="2" t="s">
        <v>129</v>
      </c>
      <c r="J87" s="2"/>
      <c r="K87" s="2"/>
      <c r="L87" s="2"/>
      <c r="M87" s="2" t="s">
        <v>146</v>
      </c>
      <c r="N87" s="2" t="n">
        <v>23631031</v>
      </c>
      <c r="O87" s="2" t="s">
        <v>37</v>
      </c>
      <c r="P87" s="2" t="s">
        <v>118</v>
      </c>
      <c r="Q87" s="2" t="n">
        <v>48</v>
      </c>
    </row>
    <row r="88" customFormat="false" ht="15" hidden="false" customHeight="false" outlineLevel="0" collapsed="false">
      <c r="A88" s="2" t="n">
        <v>236310311</v>
      </c>
      <c r="B88" s="3" t="n">
        <v>45365</v>
      </c>
      <c r="C88" s="2" t="s">
        <v>30</v>
      </c>
      <c r="D88" s="2" t="n">
        <v>236310311400</v>
      </c>
      <c r="E88" s="2" t="s">
        <v>51</v>
      </c>
      <c r="F88" s="2"/>
      <c r="G88" s="2" t="s">
        <v>20</v>
      </c>
      <c r="H88" s="2" t="s">
        <v>125</v>
      </c>
      <c r="I88" s="2" t="s">
        <v>126</v>
      </c>
      <c r="J88" s="2" t="s">
        <v>201</v>
      </c>
      <c r="K88" s="2"/>
      <c r="L88" s="2"/>
      <c r="M88" s="2" t="s">
        <v>146</v>
      </c>
      <c r="N88" s="2" t="n">
        <v>23631031</v>
      </c>
      <c r="O88" s="2" t="s">
        <v>37</v>
      </c>
      <c r="P88" s="2" t="s">
        <v>118</v>
      </c>
      <c r="Q88" s="2" t="n">
        <v>48</v>
      </c>
    </row>
    <row r="89" customFormat="false" ht="15" hidden="false" customHeight="false" outlineLevel="0" collapsed="false">
      <c r="A89" s="2" t="n">
        <v>236310311</v>
      </c>
      <c r="B89" s="3" t="n">
        <v>45365</v>
      </c>
      <c r="C89" s="2" t="s">
        <v>30</v>
      </c>
      <c r="D89" s="2" t="n">
        <v>236310311500</v>
      </c>
      <c r="E89" s="2" t="s">
        <v>51</v>
      </c>
      <c r="F89" s="2"/>
      <c r="G89" s="2" t="s">
        <v>20</v>
      </c>
      <c r="H89" s="2" t="s">
        <v>125</v>
      </c>
      <c r="I89" s="2" t="s">
        <v>129</v>
      </c>
      <c r="J89" s="2" t="s">
        <v>202</v>
      </c>
      <c r="K89" s="2"/>
      <c r="L89" s="2"/>
      <c r="M89" s="2" t="s">
        <v>146</v>
      </c>
      <c r="N89" s="2" t="n">
        <v>23631031</v>
      </c>
      <c r="O89" s="2" t="s">
        <v>37</v>
      </c>
      <c r="P89" s="2" t="s">
        <v>118</v>
      </c>
      <c r="Q89" s="2" t="n">
        <v>48</v>
      </c>
    </row>
    <row r="90" customFormat="false" ht="15" hidden="false" customHeight="false" outlineLevel="0" collapsed="false">
      <c r="A90" s="2" t="n">
        <v>236310311</v>
      </c>
      <c r="B90" s="3" t="n">
        <v>45365</v>
      </c>
      <c r="C90" s="2" t="s">
        <v>30</v>
      </c>
      <c r="D90" s="2" t="n">
        <v>236310311800</v>
      </c>
      <c r="E90" s="2" t="s">
        <v>51</v>
      </c>
      <c r="F90" s="2"/>
      <c r="G90" s="2" t="s">
        <v>20</v>
      </c>
      <c r="H90" s="2" t="s">
        <v>125</v>
      </c>
      <c r="I90" s="2" t="s">
        <v>126</v>
      </c>
      <c r="J90" s="2"/>
      <c r="K90" s="2"/>
      <c r="L90" s="2" t="s">
        <v>127</v>
      </c>
      <c r="M90" s="2" t="s">
        <v>146</v>
      </c>
      <c r="N90" s="2" t="n">
        <v>23631031</v>
      </c>
      <c r="O90" s="2" t="s">
        <v>37</v>
      </c>
      <c r="P90" s="2" t="s">
        <v>118</v>
      </c>
      <c r="Q90" s="2" t="n">
        <v>48</v>
      </c>
    </row>
  </sheetData>
  <autoFilter ref="A1:Q9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8"/>
  </cols>
  <sheetData>
    <row r="1" customFormat="false" ht="30" hidden="false" customHeight="true" outlineLevel="0" collapsed="false">
      <c r="A1" s="1" t="s">
        <v>203</v>
      </c>
      <c r="B1" s="1"/>
    </row>
    <row r="2" customFormat="false" ht="23.85" hidden="false" customHeight="false" outlineLevel="0" collapsed="false">
      <c r="A2" s="7" t="s">
        <v>204</v>
      </c>
      <c r="B2" s="8" t="s">
        <v>205</v>
      </c>
    </row>
    <row r="3" customFormat="false" ht="15" hidden="false" customHeight="false" outlineLevel="0" collapsed="false">
      <c r="A3" s="7" t="s">
        <v>206</v>
      </c>
      <c r="B3" s="8" t="s">
        <v>207</v>
      </c>
    </row>
    <row r="4" customFormat="false" ht="15" hidden="false" customHeight="false" outlineLevel="0" collapsed="false">
      <c r="A4" s="7"/>
      <c r="B4" s="8"/>
    </row>
    <row r="5" customFormat="false" ht="15" hidden="false" customHeight="false" outlineLevel="0" collapsed="false">
      <c r="A5" s="7" t="s">
        <v>208</v>
      </c>
      <c r="B5" s="8" t="s">
        <v>209</v>
      </c>
    </row>
    <row r="6" customFormat="false" ht="15" hidden="false" customHeight="false" outlineLevel="0" collapsed="false">
      <c r="A6" s="7"/>
      <c r="B6" s="8"/>
    </row>
    <row r="7" customFormat="false" ht="35.05" hidden="false" customHeight="false" outlineLevel="0" collapsed="false">
      <c r="A7" s="7" t="s">
        <v>210</v>
      </c>
      <c r="B7" s="8" t="s">
        <v>211</v>
      </c>
    </row>
    <row r="8" customFormat="false" ht="35.05" hidden="false" customHeight="false" outlineLevel="0" collapsed="false">
      <c r="A8" s="7" t="s">
        <v>212</v>
      </c>
      <c r="B8" s="8" t="s">
        <v>213</v>
      </c>
    </row>
    <row r="9" customFormat="false" ht="23.85" hidden="false" customHeight="false" outlineLevel="0" collapsed="false">
      <c r="A9" s="7" t="s">
        <v>214</v>
      </c>
      <c r="B9" s="8" t="s">
        <v>215</v>
      </c>
    </row>
    <row r="10" customFormat="false" ht="23.85" hidden="false" customHeight="false" outlineLevel="0" collapsed="false">
      <c r="A10" s="7" t="s">
        <v>216</v>
      </c>
      <c r="B10" s="8" t="s">
        <v>217</v>
      </c>
    </row>
    <row r="11" customFormat="false" ht="15" hidden="false" customHeight="false" outlineLevel="0" collapsed="false">
      <c r="A11" s="7"/>
      <c r="B11" s="8"/>
    </row>
    <row r="12" customFormat="false" ht="23.85" hidden="false" customHeight="false" outlineLevel="0" collapsed="false">
      <c r="A12" s="7" t="s">
        <v>218</v>
      </c>
      <c r="B12" s="8" t="s">
        <v>219</v>
      </c>
    </row>
    <row r="13" customFormat="false" ht="15" hidden="false" customHeight="false" outlineLevel="0" collapsed="false">
      <c r="A13" s="7"/>
      <c r="B13" s="8"/>
    </row>
    <row r="14" customFormat="false" ht="35.05" hidden="false" customHeight="false" outlineLevel="0" collapsed="false">
      <c r="A14" s="7" t="s">
        <v>220</v>
      </c>
      <c r="B14" s="8" t="s">
        <v>221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2026-08-30T17:28:40Z</dcterms:created>
  <dc:creator>openpyxl</dc:creator>
  <dc:description/>
  <dc:language>en-US</dc:language>
  <cp:lastModifiedBy/>
  <dcterms:modified xsi:type="dcterms:W3CDTF">2026-08-30T17:28:40Z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
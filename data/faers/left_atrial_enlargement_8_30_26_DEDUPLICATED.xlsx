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duplicated (23)" sheetId="1" state="visible" r:id="rId3"/>
    <sheet name="Selection log" sheetId="2" state="visible" r:id="rId4"/>
    <sheet name="Dropped rows" sheetId="3" state="visible" r:id="rId5"/>
    <sheet name="README" sheetId="4" state="visible" r:id="rId6"/>
  </sheets>
  <definedNames>
    <definedName function="false" hidden="true" localSheetId="0" name="_xlnm._FilterDatabase" vbProcedure="false">'Deduplicated (23)'!$A$1:$Q$24</definedName>
    <definedName function="false" hidden="true" localSheetId="2" name="_xlnm._FilterDatabase" vbProcedure="false">'Dropped rows'!$A$1:$Q$43</definedName>
    <definedName function="false" hidden="true" localSheetId="1" name="_xlnm._FilterDatabase" vbProcedure="false">'Selection log'!$A$1:$H$24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<sst xmlns="http://schemas.openxmlformats.org/spreadsheetml/2006/main" count="702" uniqueCount="132">
  <si>
    <t xml:space="preserve">ISR</t>
  </si>
  <si>
    <t xml:space="preserve">Date received</t>
  </si>
  <si>
    <t xml:space="preserve">Outcome</t>
  </si>
  <si>
    <t xml:space="preserve">Drug_seq</t>
  </si>
  <si>
    <t xml:space="preserve">Original name</t>
  </si>
  <si>
    <t xml:space="preserve">Pharma product</t>
  </si>
  <si>
    <t xml:space="preserve">Drug name</t>
  </si>
  <si>
    <t xml:space="preserve">Role code</t>
  </si>
  <si>
    <t xml:space="preserve">Route</t>
  </si>
  <si>
    <t xml:space="preserve">Dosis</t>
  </si>
  <si>
    <t xml:space="preserve">Calculated daily dosis</t>
  </si>
  <si>
    <t xml:space="preserve">Indication</t>
  </si>
  <si>
    <t xml:space="preserve">Event</t>
  </si>
  <si>
    <t xml:space="preserve">Case_id</t>
  </si>
  <si>
    <t xml:space="preserve">Gender</t>
  </si>
  <si>
    <t xml:space="preserve">Reporter country</t>
  </si>
  <si>
    <t xml:space="preserve">Age in report</t>
  </si>
  <si>
    <t xml:space="preserve">Other</t>
  </si>
  <si>
    <t xml:space="preserve">CLOZARIL</t>
  </si>
  <si>
    <t xml:space="preserve">clozaril</t>
  </si>
  <si>
    <t xml:space="preserve">clozapine</t>
  </si>
  <si>
    <t xml:space="preserve">Primary Suspect Drug</t>
  </si>
  <si>
    <t xml:space="preserve">Oral</t>
  </si>
  <si>
    <t xml:space="preserve">200 MG PO AT BEDTIME</t>
  </si>
  <si>
    <t xml:space="preserve">schizophrenia</t>
  </si>
  <si>
    <t xml:space="preserve">atrioventricular block first degree / drug interaction / heart rate irregular / left atrial enlargement / tachycardia</t>
  </si>
  <si>
    <t xml:space="preserve">M</t>
  </si>
  <si>
    <t xml:space="preserve">CA</t>
  </si>
  <si>
    <t xml:space="preserve">CLOZAPINE</t>
  </si>
  <si>
    <t xml:space="preserve">200 MG</t>
  </si>
  <si>
    <t xml:space="preserve">drug interaction / heart rate irregular / left atrial enlargement / tachycardia</t>
  </si>
  <si>
    <t xml:space="preserve">25 MG DAILY MORNING AND 175 MG BED TIME</t>
  </si>
  <si>
    <t xml:space="preserve">psychotic disorder</t>
  </si>
  <si>
    <t xml:space="preserve">bundle branch block right / electrocardiogram qt interval abnormal / left atrial enlargement / psychotic disorder / sinus tachycardia</t>
  </si>
  <si>
    <t xml:space="preserve">Secondary Suspect Drug</t>
  </si>
  <si>
    <t xml:space="preserve">Unknown</t>
  </si>
  <si>
    <t xml:space="preserve">product used for unknown indication</t>
  </si>
  <si>
    <t xml:space="preserve">acne / acute myocardial infarction / blood pressure increased / cardiac aneurysm / disease recurrence / dyspnoea / left atrial enlargement / left ventricular dysfunction / lipoma / mental disorder / palpitations / pulmonary hypertension / right atrial enlargement / sleep disorder</t>
  </si>
  <si>
    <t xml:space="preserve">F</t>
  </si>
  <si>
    <t xml:space="preserve">AU</t>
  </si>
  <si>
    <t xml:space="preserve">null</t>
  </si>
  <si>
    <t xml:space="preserve">UNK</t>
  </si>
  <si>
    <t xml:space="preserve">Concomitant</t>
  </si>
  <si>
    <t xml:space="preserve">200MG TABLET 1 AND A HALF TABLET BEFORE BED</t>
  </si>
  <si>
    <t xml:space="preserve">cardiac disorder / left atrial enlargement / left ventricular hypertrophy</t>
  </si>
  <si>
    <t xml:space="preserve">Hospitalization - Initial or Prolonged/ Other</t>
  </si>
  <si>
    <t xml:space="preserve">abdominal mass / aortic injury / cardiac steatosis / hospitalisation / left atrial enlargement / neutrophil count decreased / surgery / tricuspid valve incompetence / weight increased</t>
  </si>
  <si>
    <t xml:space="preserve">NZ</t>
  </si>
  <si>
    <t xml:space="preserve">abnormal precordial movement / aortic arteriosclerosis / aortic dilatation / atrioventricular block first degree / c-reactive protein increased / defect conduction intraventricular / inferior vena cava dilatation / left atrial enlargement / left ventricular dysfunction / left ventricular enlargement / pulmonary hypertension / qrs axis abnormal / right atrial enlargement / right ventricular enlargement / tricuspid valve incompetence</t>
  </si>
  <si>
    <t xml:space="preserve">Hospitalization - Initial or Prolonged</t>
  </si>
  <si>
    <t xml:space="preserve">12.5 MG AT BEDTIME</t>
  </si>
  <si>
    <t xml:space="preserve">abdominal pain / c-reactive protein increased / chest pain / chills / haemoglobin decreased / heart rate increased / hot flush / hyperhidrosis / influenza like illness / left atrial enlargement / malaise / nasal congestion / nausea / neutrophil count decreased / productive cough / pyrexia / troponin increased / vomiting / white blood cell count decreased</t>
  </si>
  <si>
    <t xml:space="preserve">aortic arteriosclerosis / aortic dilatation / inferior vena cava dilatation / left atrial enlargement / left ventricular dysfunction / left ventricular enlargement / pulmonary hypertension / qrs axis abnormal / right atrial enlargement / right ventricular enlargement / tricuspid valve incompetence</t>
  </si>
  <si>
    <t xml:space="preserve">250 MG HS</t>
  </si>
  <si>
    <t xml:space="preserve">electrocardiogram qt prolonged / electrocardiogram t wave abnormal / left atrial enlargement / myocardial infarction / qrs axis abnormal / sinus tachycardia</t>
  </si>
  <si>
    <t xml:space="preserve">Hospitalization - Initial or Prolonged/ Disability/ Other</t>
  </si>
  <si>
    <t xml:space="preserve">schizoaffective disorder schizoaffective disorder bipolar type</t>
  </si>
  <si>
    <t xml:space="preserve">bundle branch block left / bundle branch block right / c-reactive protein increased / left atrial enlargement / sinus tachycardia / troponin increased</t>
  </si>
  <si>
    <t xml:space="preserve">US</t>
  </si>
  <si>
    <t xml:space="preserve">Death/ Hospitalization - Initial or Prolonged</t>
  </si>
  <si>
    <t xml:space="preserve">atrial fibrillation / death / defect conduction intraventricular / delirium / electrocardiogram t wave abnormal / left atrial enlargement / sinus rhythm / therapy interrupted</t>
  </si>
  <si>
    <t xml:space="preserve">titrated up to his current dose of 150 mg QHS</t>
  </si>
  <si>
    <t xml:space="preserve">cardiovascular symptom / left atrial enlargement / psychotic symptom / sedation</t>
  </si>
  <si>
    <t xml:space="preserve">left atrial enlargement / muscle twitching / myocardial infarction</t>
  </si>
  <si>
    <t xml:space="preserve">GB</t>
  </si>
  <si>
    <t xml:space="preserve">blood pressure decreased / c-reactive protein increased / colitis ulcerative / hyponatraemia / left atrial enlargement / tachycardia / troponin increased / white blood cell count increased</t>
  </si>
  <si>
    <t xml:space="preserve">500 milligram, qd (500mg/day)</t>
  </si>
  <si>
    <t xml:space="preserve">electrocardiogram qt prolonged / left atrial enlargement / mental impairment / schizophrenia / sinus tachycardia</t>
  </si>
  <si>
    <t xml:space="preserve">at 12.5mg QHS, titrated up in 12.5mg increments to current dose 75mg (tried 100mg x 1 dose on 27 Feb</t>
  </si>
  <si>
    <t xml:space="preserve">blood pressure orthostatic decreased / c-reactive protein increased / fall / left atrial enlargement / monocyte count increased / neutrophil count increased / oxygen saturation decreased / respiratory rate increased / troponin t increased / white blood cell count increased</t>
  </si>
  <si>
    <t xml:space="preserve">300 mg</t>
  </si>
  <si>
    <t xml:space="preserve">atrial fibrillation / atrioventricular block complete / bundle branch block right / electrocardiogram qt prolonged / electrocardiogram st segment depression / electrocardiogram t wave abnormal / hallucination, auditory / left atrial enlargement / myocardial ischaemia / syncope / ventricular extrasystoles</t>
  </si>
  <si>
    <t xml:space="preserve">Hospitalization - Initial or Prolonged/ Disability</t>
  </si>
  <si>
    <t xml:space="preserve">150 mg oral qhs</t>
  </si>
  <si>
    <t xml:space="preserve">brain natriuretic peptide increased / bundle branch block right / condition aggravated / electrocardiogram qrs complex abnormal / full blood count abnormal / left atrial enlargement</t>
  </si>
  <si>
    <t xml:space="preserve">200 milligram</t>
  </si>
  <si>
    <t xml:space="preserve">alanine aminotransferase increased / antipsychotic drug level decreased / aspartate aminotransferase increased / blood glucose increased / blood lactate dehydrogenase increased / blood osmolarity increased / blood triglycerides increased / blood uric acid increased / c-reactive protein increased / chest pain / gamma-glutamyltransferase increased / glomerular filtration rate decreased / hypertension / left atrial enlargement / orthostatic hypotension / palpitations / psychotic symptom / tachycardia</t>
  </si>
  <si>
    <t xml:space="preserve">dizziness / ecg signs of ventricular hypertrophy / electrocardiogram low voltage / electrocardiogram qt prolonged / electrocardiogram repolarisation abnormality / electrocardiogram st segment elevation / electrocardiogram t wave abnormal / hypotension / left atrial enlargement / palpitations / sinus tachycardia / syncope</t>
  </si>
  <si>
    <t xml:space="preserve">c-reactive protein increased / electrocardiogram t wave abnormal / hallucination, auditory / heart rate decreased / left atrial enlargement / myocarditis / sinus tachycardia</t>
  </si>
  <si>
    <t xml:space="preserve">ISR kept</t>
  </si>
  <si>
    <t xml:space="preserve">ISR versions in case</t>
  </si>
  <si>
    <t xml:space="preserve">Rows in case</t>
  </si>
  <si>
    <t xml:space="preserve">Rows dropped</t>
  </si>
  <si>
    <t xml:space="preserve">Drug_seq kept</t>
  </si>
  <si>
    <t xml:space="preserve">Role code kept</t>
  </si>
  <si>
    <t xml:space="preserve">Why this row</t>
  </si>
  <si>
    <t xml:space="preserve">Primary suspect, latest report version</t>
  </si>
  <si>
    <t xml:space="preserve">No primary suspect row in this case - kept secondary suspect drug from latest version</t>
  </si>
  <si>
    <t xml:space="preserve">No primary suspect row in this case - kept concomitant from latest version</t>
  </si>
  <si>
    <t xml:space="preserve">Rows kept</t>
  </si>
  <si>
    <t xml:space="preserve">Unique Case_id kept</t>
  </si>
  <si>
    <t xml:space="preserve">Kept + dropped</t>
  </si>
  <si>
    <t xml:space="preserve">125 MG</t>
  </si>
  <si>
    <t xml:space="preserve">150 MG</t>
  </si>
  <si>
    <t xml:space="preserve">250 MG</t>
  </si>
  <si>
    <t xml:space="preserve">425 MG</t>
  </si>
  <si>
    <t xml:space="preserve">450 MG</t>
  </si>
  <si>
    <t xml:space="preserve">300 MG, UNK</t>
  </si>
  <si>
    <t xml:space="preserve">aortic arteriosclerosis / aortic dilatation / atrioventricular block first degree / defect conduction intraventricular / inferior vena cava dilatation / left atrial enlargement / left ventricular dysfunction / left ventricular enlargement / pulmonary hypertension / qrs axis abnormal / right atrial enlargement / right ventricular enlargement / tricuspid valve incompetence</t>
  </si>
  <si>
    <t xml:space="preserve">Clopine</t>
  </si>
  <si>
    <t xml:space="preserve">clopine</t>
  </si>
  <si>
    <t xml:space="preserve">atrial fibrillation / defect conduction intraventricular / delirium / electrocardiogram t wave abnormal / left atrial enlargement / sinus rhythm / therapy interrupted</t>
  </si>
  <si>
    <t xml:space="preserve">450 milligram, qd (450mg/day)</t>
  </si>
  <si>
    <t xml:space="preserve">500 milligram, qd (150mg mane, 350mg nocte)</t>
  </si>
  <si>
    <t xml:space="preserve">downtitrated to 50mg QHS</t>
  </si>
  <si>
    <t xml:space="preserve">dose: 137.5 mg qhs</t>
  </si>
  <si>
    <t xml:space="preserve">current clozapine dose is 75 mg (from 18-Aug-2025 to 22- Aug-2025). will be increased to 100mg on 23</t>
  </si>
  <si>
    <t xml:space="preserve">Notes on this workbook</t>
  </si>
  <si>
    <t xml:space="preserve">Source</t>
  </si>
  <si>
    <t xml:space="preserve">left_atrial_enlargement_8_30_26_CLEANED.xlsx, sheet "Cleaned data" - the column-realigned version of left_atrial_enlargement_8_30_26.xlsx (65 drug rows, 23 unique Case_id).</t>
  </si>
  <si>
    <t xml:space="preserve">Verified against</t>
  </si>
  <si>
    <t xml:space="preserve">Your count_duplicates.txt. Every one of the 23 Case_id values and every per-case count matches exactly, and both total 65.</t>
  </si>
  <si>
    <t xml:space="preserve">Alignment re-checked</t>
  </si>
  <si>
    <t xml:space="preserve">I re-ran the column-shift checks on the uploaded sheet before touching it: no cells past column 17, Case_id numeric in all 65 rows, Role code valid in all 65, Gender and Age valid throughout. Still correctly aligned, so no further repair was needed.</t>
  </si>
  <si>
    <t xml:space="preserve">WHAT WAS DONE</t>
  </si>
  <si>
    <t xml:space="preserve">Collapsed to one row per Case_id: 23 rows kept, 42 dropped. No Case_id appears twice on "Deduplicated (23)".</t>
  </si>
  <si>
    <t xml:space="preserve">IMPORTANT - these were not identical copies</t>
  </si>
  <si>
    <t xml:space="preserve">The 65 rows are DRUG-level records, not repeated copies of the same information. A Case_id has several rows because the report lists clozapine more than once (different dose or route entries) or because FDA received follow-up versions of it. Case_id 15460195 alone accounts for 20 of the 65 rows and 15854706 for another 12 - together half the file. Dropping them discards real data: other Drug_seq entries, other doses, other ISR versions.</t>
  </si>
  <si>
    <t xml:space="preserve">Selection rule</t>
  </si>
  <si>
    <t xml:space="preserve">For each Case_id: take the LATEST report version (max Date received, then max ISR), then within it prefer Primary Suspect Drug, then Secondary Suspect, then Interacting, then Concomitant, breaking ties on the lowest Drug_seq. This keeps the row where clozapine is the suspect drug wherever one exists.</t>
  </si>
  <si>
    <t xml:space="preserve">Coverage</t>
  </si>
  <si>
    <t xml:space="preserve">18 of 23 cases had a primary suspect row and kept it. The remaining 5 have no primary suspect row anywhere in the case (clozapine is recorded as secondary suspect or concomitant), so the best available row was kept and the reason is shaded on "Selection log".</t>
  </si>
  <si>
    <t xml:space="preserve">No version conflict on role</t>
  </si>
  <si>
    <t xml:space="preserve">Every case here that contains a primary suspect row has one in its LATEST version, so preferring the latest version never cost a primary suspect row.</t>
  </si>
  <si>
    <t xml:space="preserve">Nothing lost</t>
  </si>
  <si>
    <t xml:space="preserve">All 42 dropped rows are on "Dropped rows" in full, so any per-drug or per-version analysis can still be run and the split can be reversed.</t>
  </si>
  <si>
    <t xml:space="preserve">Sheets</t>
  </si>
  <si>
    <t xml:space="preserve">"Deduplicated (23)" - the file you asked for, 17 columns, one row per Case_id. "Selection log" - which row was kept for each case and why, with a check block. "Dropped rows" - the 42 removed rows.</t>
  </si>
  <si>
    <t xml:space="preserve">Before you use this</t>
  </si>
  <si>
    <t xml:space="preserve">Event and Outcome differ between versions of the same case in 2 and 1 cases respectively. The kept row carries the LATEST version of those fields, which is usually what you want for case-level counting, but it does mean a value here may not match an earlier printout of the same case.</t>
  </si>
  <si>
    <t xml:space="preserve">Small numbers</t>
  </si>
  <si>
    <t xml:space="preserve">23 cases is the smallest of the extractions processed in this thread. Proportions computed on it - sex split, outcome mix, country mix - move by more than four percentage points with a single case, so treat them as descriptive rather than as estimates.</t>
  </si>
</sst>
</file>

<file path=xl/styles.xml><?xml version="1.0" encoding="utf-8"?>
<styleSheet xmlns="http://schemas.openxmlformats.org/spreadsheetml/2006/main">
  <numFmts count="3">
    <numFmt numFmtId="164" formatCode="General"/>
    <numFmt numFmtId="165" formatCode="yyyy\-mm\-dd"/>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124292576</v>
      </c>
      <c r="B2" s="3" t="n">
        <v>42747</v>
      </c>
      <c r="C2" s="2" t="s">
        <v>17</v>
      </c>
      <c r="D2" s="2" t="n">
        <v>1242925761</v>
      </c>
      <c r="E2" s="2" t="s">
        <v>18</v>
      </c>
      <c r="F2" s="2" t="s">
        <v>19</v>
      </c>
      <c r="G2" s="2" t="s">
        <v>20</v>
      </c>
      <c r="H2" s="2" t="s">
        <v>21</v>
      </c>
      <c r="I2" s="2" t="s">
        <v>22</v>
      </c>
      <c r="J2" s="2" t="s">
        <v>23</v>
      </c>
      <c r="K2" s="2"/>
      <c r="L2" s="2" t="s">
        <v>24</v>
      </c>
      <c r="M2" s="2" t="s">
        <v>25</v>
      </c>
      <c r="N2" s="2" t="n">
        <v>12429257</v>
      </c>
      <c r="O2" s="2" t="s">
        <v>26</v>
      </c>
      <c r="P2" s="2" t="s">
        <v>27</v>
      </c>
      <c r="Q2" s="2" t="n">
        <v>25</v>
      </c>
    </row>
    <row r="3" customFormat="false" ht="15" hidden="false" customHeight="false" outlineLevel="0" collapsed="false">
      <c r="A3" s="2" t="n">
        <v>134254311</v>
      </c>
      <c r="B3" s="3" t="n">
        <v>42836</v>
      </c>
      <c r="C3" s="2" t="s">
        <v>17</v>
      </c>
      <c r="D3" s="2" t="n">
        <v>1342543111</v>
      </c>
      <c r="E3" s="2" t="s">
        <v>28</v>
      </c>
      <c r="F3" s="2"/>
      <c r="G3" s="2" t="s">
        <v>20</v>
      </c>
      <c r="H3" s="2" t="s">
        <v>21</v>
      </c>
      <c r="I3" s="2" t="s">
        <v>22</v>
      </c>
      <c r="J3" s="2" t="s">
        <v>29</v>
      </c>
      <c r="K3" s="2"/>
      <c r="L3" s="2" t="s">
        <v>24</v>
      </c>
      <c r="M3" s="2" t="s">
        <v>30</v>
      </c>
      <c r="N3" s="2" t="n">
        <v>13425431</v>
      </c>
      <c r="O3" s="2" t="s">
        <v>26</v>
      </c>
      <c r="P3" s="2" t="s">
        <v>27</v>
      </c>
      <c r="Q3" s="2" t="n">
        <v>25</v>
      </c>
    </row>
    <row r="4" customFormat="false" ht="15" hidden="false" customHeight="false" outlineLevel="0" collapsed="false">
      <c r="A4" s="2" t="n">
        <v>137666861</v>
      </c>
      <c r="B4" s="3" t="n">
        <v>42935</v>
      </c>
      <c r="C4" s="2" t="s">
        <v>17</v>
      </c>
      <c r="D4" s="2" t="n">
        <v>137666861100</v>
      </c>
      <c r="E4" s="2" t="s">
        <v>18</v>
      </c>
      <c r="F4" s="2" t="s">
        <v>19</v>
      </c>
      <c r="G4" s="2" t="s">
        <v>20</v>
      </c>
      <c r="H4" s="2" t="s">
        <v>21</v>
      </c>
      <c r="I4" s="2" t="s">
        <v>22</v>
      </c>
      <c r="J4" s="2" t="s">
        <v>31</v>
      </c>
      <c r="K4" s="2"/>
      <c r="L4" s="2" t="s">
        <v>32</v>
      </c>
      <c r="M4" s="2" t="s">
        <v>33</v>
      </c>
      <c r="N4" s="2" t="n">
        <v>13766686</v>
      </c>
      <c r="O4" s="2" t="s">
        <v>26</v>
      </c>
      <c r="P4" s="2" t="s">
        <v>27</v>
      </c>
      <c r="Q4" s="2" t="n">
        <v>12</v>
      </c>
    </row>
    <row r="5" customFormat="false" ht="15" hidden="false" customHeight="false" outlineLevel="0" collapsed="false">
      <c r="A5" s="2" t="n">
        <v>144825221</v>
      </c>
      <c r="B5" s="3" t="n">
        <v>43133</v>
      </c>
      <c r="C5" s="2" t="s">
        <v>17</v>
      </c>
      <c r="D5" s="2" t="n">
        <v>144825221100</v>
      </c>
      <c r="E5" s="2" t="s">
        <v>28</v>
      </c>
      <c r="F5" s="2"/>
      <c r="G5" s="2" t="s">
        <v>20</v>
      </c>
      <c r="H5" s="2" t="s">
        <v>34</v>
      </c>
      <c r="I5" s="2" t="s">
        <v>35</v>
      </c>
      <c r="J5" s="2"/>
      <c r="K5" s="2"/>
      <c r="L5" s="2" t="s">
        <v>36</v>
      </c>
      <c r="M5" s="2" t="s">
        <v>37</v>
      </c>
      <c r="N5" s="2" t="n">
        <v>14482522</v>
      </c>
      <c r="O5" s="2" t="s">
        <v>38</v>
      </c>
      <c r="P5" s="2" t="s">
        <v>39</v>
      </c>
      <c r="Q5" s="2" t="s">
        <v>40</v>
      </c>
    </row>
    <row r="6" customFormat="false" ht="15" hidden="false" customHeight="false" outlineLevel="0" collapsed="false">
      <c r="A6" s="2" t="n">
        <v>145060741</v>
      </c>
      <c r="B6" s="3" t="n">
        <v>43139</v>
      </c>
      <c r="C6" s="2" t="s">
        <v>17</v>
      </c>
      <c r="D6" s="2" t="n">
        <v>145060741600</v>
      </c>
      <c r="E6" s="2" t="s">
        <v>28</v>
      </c>
      <c r="F6" s="2"/>
      <c r="G6" s="2" t="s">
        <v>20</v>
      </c>
      <c r="H6" s="2" t="s">
        <v>34</v>
      </c>
      <c r="I6" s="2"/>
      <c r="J6" s="2" t="s">
        <v>41</v>
      </c>
      <c r="K6" s="2"/>
      <c r="L6" s="2" t="s">
        <v>36</v>
      </c>
      <c r="M6" s="2" t="s">
        <v>37</v>
      </c>
      <c r="N6" s="2" t="n">
        <v>14506074</v>
      </c>
      <c r="O6" s="2" t="s">
        <v>38</v>
      </c>
      <c r="P6" s="2" t="s">
        <v>39</v>
      </c>
      <c r="Q6" s="2" t="s">
        <v>40</v>
      </c>
    </row>
    <row r="7" customFormat="false" ht="15" hidden="false" customHeight="false" outlineLevel="0" collapsed="false">
      <c r="A7" s="2" t="n">
        <v>146493661</v>
      </c>
      <c r="B7" s="3" t="n">
        <v>43175</v>
      </c>
      <c r="C7" s="2" t="s">
        <v>17</v>
      </c>
      <c r="D7" s="2" t="n">
        <v>1464936612</v>
      </c>
      <c r="E7" s="2" t="s">
        <v>28</v>
      </c>
      <c r="F7" s="2"/>
      <c r="G7" s="2" t="s">
        <v>20</v>
      </c>
      <c r="H7" s="2" t="s">
        <v>42</v>
      </c>
      <c r="I7" s="2"/>
      <c r="J7" s="2" t="s">
        <v>43</v>
      </c>
      <c r="K7" s="2"/>
      <c r="L7" s="2"/>
      <c r="M7" s="2" t="s">
        <v>44</v>
      </c>
      <c r="N7" s="2" t="n">
        <v>14649366</v>
      </c>
      <c r="O7" s="2" t="s">
        <v>26</v>
      </c>
      <c r="P7" s="2" t="s">
        <v>39</v>
      </c>
      <c r="Q7" s="2" t="n">
        <v>55</v>
      </c>
    </row>
    <row r="8" customFormat="false" ht="15" hidden="false" customHeight="false" outlineLevel="0" collapsed="false">
      <c r="A8" s="2" t="n">
        <v>154601951</v>
      </c>
      <c r="B8" s="3" t="n">
        <v>43376</v>
      </c>
      <c r="C8" s="2" t="s">
        <v>45</v>
      </c>
      <c r="D8" s="2" t="n">
        <v>1546019511</v>
      </c>
      <c r="E8" s="2" t="s">
        <v>28</v>
      </c>
      <c r="F8" s="2"/>
      <c r="G8" s="2" t="s">
        <v>20</v>
      </c>
      <c r="H8" s="2" t="s">
        <v>21</v>
      </c>
      <c r="I8" s="2"/>
      <c r="J8" s="2" t="s">
        <v>29</v>
      </c>
      <c r="K8" s="2"/>
      <c r="L8" s="2"/>
      <c r="M8" s="2" t="s">
        <v>46</v>
      </c>
      <c r="N8" s="2" t="n">
        <v>15460195</v>
      </c>
      <c r="O8" s="2" t="s">
        <v>26</v>
      </c>
      <c r="P8" s="2" t="s">
        <v>47</v>
      </c>
      <c r="Q8" s="2" t="n">
        <v>28</v>
      </c>
    </row>
    <row r="9" customFormat="false" ht="15" hidden="false" customHeight="false" outlineLevel="0" collapsed="false">
      <c r="A9" s="2" t="n">
        <v>158547067</v>
      </c>
      <c r="B9" s="3" t="n">
        <v>44085</v>
      </c>
      <c r="C9" s="2" t="s">
        <v>17</v>
      </c>
      <c r="D9" s="2" t="n">
        <v>158547067100</v>
      </c>
      <c r="E9" s="2" t="s">
        <v>28</v>
      </c>
      <c r="F9" s="2"/>
      <c r="G9" s="2" t="s">
        <v>20</v>
      </c>
      <c r="H9" s="2" t="s">
        <v>34</v>
      </c>
      <c r="I9" s="2"/>
      <c r="J9" s="2" t="s">
        <v>41</v>
      </c>
      <c r="K9" s="2"/>
      <c r="L9" s="2"/>
      <c r="M9" s="2" t="s">
        <v>48</v>
      </c>
      <c r="N9" s="2" t="n">
        <v>15854706</v>
      </c>
      <c r="O9" s="2" t="s">
        <v>26</v>
      </c>
      <c r="P9" s="2" t="s">
        <v>39</v>
      </c>
      <c r="Q9" s="2" t="n">
        <v>40</v>
      </c>
    </row>
    <row r="10" customFormat="false" ht="15" hidden="false" customHeight="false" outlineLevel="0" collapsed="false">
      <c r="A10" s="2" t="n">
        <v>162740743</v>
      </c>
      <c r="B10" s="3" t="n">
        <v>43619</v>
      </c>
      <c r="C10" s="2" t="s">
        <v>49</v>
      </c>
      <c r="D10" s="2" t="n">
        <v>1627407431</v>
      </c>
      <c r="E10" s="2" t="s">
        <v>28</v>
      </c>
      <c r="F10" s="2"/>
      <c r="G10" s="2" t="s">
        <v>20</v>
      </c>
      <c r="H10" s="2" t="s">
        <v>21</v>
      </c>
      <c r="I10" s="2" t="s">
        <v>22</v>
      </c>
      <c r="J10" s="2" t="s">
        <v>50</v>
      </c>
      <c r="K10" s="2"/>
      <c r="L10" s="2"/>
      <c r="M10" s="2" t="s">
        <v>51</v>
      </c>
      <c r="N10" s="2" t="n">
        <v>16274074</v>
      </c>
      <c r="O10" s="2" t="s">
        <v>26</v>
      </c>
      <c r="P10" s="2" t="s">
        <v>27</v>
      </c>
      <c r="Q10" s="2" t="n">
        <v>56</v>
      </c>
    </row>
    <row r="11" customFormat="false" ht="15" hidden="false" customHeight="false" outlineLevel="0" collapsed="false">
      <c r="A11" s="2" t="n">
        <v>166530682</v>
      </c>
      <c r="B11" s="3" t="n">
        <v>43707</v>
      </c>
      <c r="C11" s="2" t="s">
        <v>17</v>
      </c>
      <c r="D11" s="2" t="n">
        <v>1665306824</v>
      </c>
      <c r="E11" s="2" t="s">
        <v>28</v>
      </c>
      <c r="F11" s="2"/>
      <c r="G11" s="2" t="s">
        <v>20</v>
      </c>
      <c r="H11" s="2" t="s">
        <v>34</v>
      </c>
      <c r="I11" s="2" t="s">
        <v>35</v>
      </c>
      <c r="J11" s="2"/>
      <c r="K11" s="2"/>
      <c r="L11" s="2" t="s">
        <v>36</v>
      </c>
      <c r="M11" s="2" t="s">
        <v>52</v>
      </c>
      <c r="N11" s="2" t="n">
        <v>16653068</v>
      </c>
      <c r="O11" s="2" t="s">
        <v>26</v>
      </c>
      <c r="P11" s="2" t="s">
        <v>39</v>
      </c>
      <c r="Q11" s="2" t="n">
        <v>40</v>
      </c>
    </row>
    <row r="12" customFormat="false" ht="15" hidden="false" customHeight="false" outlineLevel="0" collapsed="false">
      <c r="A12" s="2" t="n">
        <v>167571382</v>
      </c>
      <c r="B12" s="3" t="n">
        <v>43720</v>
      </c>
      <c r="C12" s="2" t="s">
        <v>17</v>
      </c>
      <c r="D12" s="2" t="n">
        <v>1675713821</v>
      </c>
      <c r="E12" s="2" t="s">
        <v>28</v>
      </c>
      <c r="F12" s="2"/>
      <c r="G12" s="2" t="s">
        <v>20</v>
      </c>
      <c r="H12" s="2" t="s">
        <v>21</v>
      </c>
      <c r="I12" s="2" t="s">
        <v>22</v>
      </c>
      <c r="J12" s="2" t="s">
        <v>53</v>
      </c>
      <c r="K12" s="2"/>
      <c r="L12" s="2"/>
      <c r="M12" s="2" t="s">
        <v>54</v>
      </c>
      <c r="N12" s="2" t="n">
        <v>16757138</v>
      </c>
      <c r="O12" s="2" t="s">
        <v>38</v>
      </c>
      <c r="P12" s="2" t="s">
        <v>27</v>
      </c>
      <c r="Q12" s="2" t="n">
        <v>58</v>
      </c>
    </row>
    <row r="13" customFormat="false" ht="15" hidden="false" customHeight="false" outlineLevel="0" collapsed="false">
      <c r="A13" s="2" t="n">
        <v>192781051</v>
      </c>
      <c r="B13" s="3" t="n">
        <v>44335</v>
      </c>
      <c r="C13" s="2" t="s">
        <v>55</v>
      </c>
      <c r="D13" s="2" t="n">
        <v>192781051100</v>
      </c>
      <c r="E13" s="2" t="s">
        <v>28</v>
      </c>
      <c r="F13" s="2"/>
      <c r="G13" s="2" t="s">
        <v>20</v>
      </c>
      <c r="H13" s="2" t="s">
        <v>21</v>
      </c>
      <c r="I13" s="2" t="s">
        <v>22</v>
      </c>
      <c r="J13" s="2"/>
      <c r="K13" s="2"/>
      <c r="L13" s="2" t="s">
        <v>56</v>
      </c>
      <c r="M13" s="2" t="s">
        <v>57</v>
      </c>
      <c r="N13" s="2" t="n">
        <v>19278105</v>
      </c>
      <c r="O13" s="2" t="s">
        <v>26</v>
      </c>
      <c r="P13" s="2" t="s">
        <v>58</v>
      </c>
      <c r="Q13" s="2" t="n">
        <v>51</v>
      </c>
    </row>
    <row r="14" customFormat="false" ht="15" hidden="false" customHeight="false" outlineLevel="0" collapsed="false">
      <c r="A14" s="2" t="n">
        <v>207683962</v>
      </c>
      <c r="B14" s="3" t="n">
        <v>44853</v>
      </c>
      <c r="C14" s="2" t="s">
        <v>59</v>
      </c>
      <c r="D14" s="2" t="n">
        <v>207683962100</v>
      </c>
      <c r="E14" s="2" t="s">
        <v>18</v>
      </c>
      <c r="F14" s="2" t="s">
        <v>19</v>
      </c>
      <c r="G14" s="2" t="s">
        <v>20</v>
      </c>
      <c r="H14" s="2" t="s">
        <v>21</v>
      </c>
      <c r="I14" s="2" t="s">
        <v>22</v>
      </c>
      <c r="J14" s="2"/>
      <c r="K14" s="2"/>
      <c r="L14" s="2" t="s">
        <v>36</v>
      </c>
      <c r="M14" s="2" t="s">
        <v>60</v>
      </c>
      <c r="N14" s="2" t="n">
        <v>20768396</v>
      </c>
      <c r="O14" s="2" t="s">
        <v>38</v>
      </c>
      <c r="P14" s="2" t="s">
        <v>27</v>
      </c>
      <c r="Q14" s="2" t="n">
        <v>55</v>
      </c>
    </row>
    <row r="15" customFormat="false" ht="15" hidden="false" customHeight="false" outlineLevel="0" collapsed="false">
      <c r="A15" s="2" t="n">
        <v>236238463</v>
      </c>
      <c r="B15" s="3" t="n">
        <v>45363</v>
      </c>
      <c r="C15" s="2" t="s">
        <v>49</v>
      </c>
      <c r="D15" s="2" t="n">
        <v>236238463100</v>
      </c>
      <c r="E15" s="2" t="s">
        <v>18</v>
      </c>
      <c r="F15" s="2" t="s">
        <v>19</v>
      </c>
      <c r="G15" s="2" t="s">
        <v>20</v>
      </c>
      <c r="H15" s="2" t="s">
        <v>21</v>
      </c>
      <c r="I15" s="2" t="s">
        <v>22</v>
      </c>
      <c r="J15" s="2" t="s">
        <v>61</v>
      </c>
      <c r="K15" s="2"/>
      <c r="L15" s="2" t="s">
        <v>36</v>
      </c>
      <c r="M15" s="2" t="s">
        <v>62</v>
      </c>
      <c r="N15" s="2" t="n">
        <v>23623846</v>
      </c>
      <c r="O15" s="2" t="s">
        <v>26</v>
      </c>
      <c r="P15" s="2" t="s">
        <v>27</v>
      </c>
      <c r="Q15" s="2" t="s">
        <v>40</v>
      </c>
    </row>
    <row r="16" customFormat="false" ht="15" hidden="false" customHeight="false" outlineLevel="0" collapsed="false">
      <c r="A16" s="2" t="n">
        <v>241355802</v>
      </c>
      <c r="B16" s="3" t="n">
        <v>45502</v>
      </c>
      <c r="C16" s="2" t="s">
        <v>17</v>
      </c>
      <c r="D16" s="2" t="n">
        <v>241355802100</v>
      </c>
      <c r="E16" s="2" t="s">
        <v>18</v>
      </c>
      <c r="F16" s="2" t="s">
        <v>19</v>
      </c>
      <c r="G16" s="2" t="s">
        <v>20</v>
      </c>
      <c r="H16" s="2" t="s">
        <v>21</v>
      </c>
      <c r="I16" s="2" t="s">
        <v>22</v>
      </c>
      <c r="J16" s="2" t="s">
        <v>41</v>
      </c>
      <c r="K16" s="2"/>
      <c r="L16" s="2" t="s">
        <v>24</v>
      </c>
      <c r="M16" s="2" t="s">
        <v>63</v>
      </c>
      <c r="N16" s="2" t="n">
        <v>24135580</v>
      </c>
      <c r="O16" s="2" t="s">
        <v>38</v>
      </c>
      <c r="P16" s="2" t="s">
        <v>64</v>
      </c>
      <c r="Q16" s="2" t="n">
        <v>58</v>
      </c>
    </row>
    <row r="17" customFormat="false" ht="15" hidden="false" customHeight="false" outlineLevel="0" collapsed="false">
      <c r="A17" s="2" t="n">
        <v>242513052</v>
      </c>
      <c r="B17" s="3" t="n">
        <v>45560</v>
      </c>
      <c r="C17" s="2" t="s">
        <v>45</v>
      </c>
      <c r="D17" s="2" t="n">
        <v>242513052100</v>
      </c>
      <c r="E17" s="2" t="s">
        <v>18</v>
      </c>
      <c r="F17" s="2" t="s">
        <v>19</v>
      </c>
      <c r="G17" s="2" t="s">
        <v>20</v>
      </c>
      <c r="H17" s="2" t="s">
        <v>21</v>
      </c>
      <c r="I17" s="2" t="s">
        <v>22</v>
      </c>
      <c r="J17" s="2"/>
      <c r="K17" s="2"/>
      <c r="L17" s="2" t="s">
        <v>36</v>
      </c>
      <c r="M17" s="2" t="s">
        <v>65</v>
      </c>
      <c r="N17" s="2" t="n">
        <v>24251305</v>
      </c>
      <c r="O17" s="2" t="s">
        <v>26</v>
      </c>
      <c r="P17" s="2" t="s">
        <v>27</v>
      </c>
      <c r="Q17" s="2" t="n">
        <v>35</v>
      </c>
    </row>
    <row r="18" customFormat="false" ht="15" hidden="false" customHeight="false" outlineLevel="0" collapsed="false">
      <c r="A18" s="2" t="n">
        <v>245933322</v>
      </c>
      <c r="B18" s="3" t="n">
        <v>45609</v>
      </c>
      <c r="C18" s="2" t="s">
        <v>17</v>
      </c>
      <c r="D18" s="2" t="n">
        <v>245933322100</v>
      </c>
      <c r="E18" s="2" t="s">
        <v>18</v>
      </c>
      <c r="F18" s="2" t="s">
        <v>19</v>
      </c>
      <c r="G18" s="2" t="s">
        <v>20</v>
      </c>
      <c r="H18" s="2" t="s">
        <v>21</v>
      </c>
      <c r="I18" s="2" t="s">
        <v>22</v>
      </c>
      <c r="J18" s="2" t="s">
        <v>66</v>
      </c>
      <c r="K18" s="2"/>
      <c r="L18" s="2" t="s">
        <v>24</v>
      </c>
      <c r="M18" s="2" t="s">
        <v>67</v>
      </c>
      <c r="N18" s="2" t="n">
        <v>24593332</v>
      </c>
      <c r="O18" s="2" t="s">
        <v>38</v>
      </c>
      <c r="P18" s="2" t="s">
        <v>39</v>
      </c>
      <c r="Q18" s="2" t="n">
        <v>43</v>
      </c>
    </row>
    <row r="19" customFormat="false" ht="15" hidden="false" customHeight="false" outlineLevel="0" collapsed="false">
      <c r="A19" s="2" t="n">
        <v>250652832</v>
      </c>
      <c r="B19" s="3" t="n">
        <v>45733</v>
      </c>
      <c r="C19" s="2" t="s">
        <v>17</v>
      </c>
      <c r="D19" s="2" t="n">
        <v>250652832100</v>
      </c>
      <c r="E19" s="2" t="s">
        <v>18</v>
      </c>
      <c r="F19" s="2" t="s">
        <v>19</v>
      </c>
      <c r="G19" s="2" t="s">
        <v>20</v>
      </c>
      <c r="H19" s="2" t="s">
        <v>21</v>
      </c>
      <c r="I19" s="2" t="s">
        <v>22</v>
      </c>
      <c r="J19" s="2" t="s">
        <v>68</v>
      </c>
      <c r="K19" s="2"/>
      <c r="L19" s="2" t="s">
        <v>36</v>
      </c>
      <c r="M19" s="2" t="s">
        <v>69</v>
      </c>
      <c r="N19" s="2" t="n">
        <v>25065283</v>
      </c>
      <c r="O19" s="2" t="s">
        <v>38</v>
      </c>
      <c r="P19" s="2" t="s">
        <v>27</v>
      </c>
      <c r="Q19" s="2" t="n">
        <v>67</v>
      </c>
    </row>
    <row r="20" customFormat="false" ht="15" hidden="false" customHeight="false" outlineLevel="0" collapsed="false">
      <c r="A20" s="2" t="n">
        <v>250912281</v>
      </c>
      <c r="B20" s="3" t="n">
        <v>45734</v>
      </c>
      <c r="C20" s="2" t="s">
        <v>45</v>
      </c>
      <c r="D20" s="2" t="n">
        <v>250912281100</v>
      </c>
      <c r="E20" s="2" t="s">
        <v>18</v>
      </c>
      <c r="F20" s="2" t="s">
        <v>19</v>
      </c>
      <c r="G20" s="2" t="s">
        <v>20</v>
      </c>
      <c r="H20" s="2" t="s">
        <v>21</v>
      </c>
      <c r="I20" s="2" t="s">
        <v>22</v>
      </c>
      <c r="J20" s="2" t="s">
        <v>70</v>
      </c>
      <c r="K20" s="2"/>
      <c r="L20" s="2" t="s">
        <v>36</v>
      </c>
      <c r="M20" s="2" t="s">
        <v>71</v>
      </c>
      <c r="N20" s="2" t="n">
        <v>25091228</v>
      </c>
      <c r="O20" s="2" t="s">
        <v>38</v>
      </c>
      <c r="P20" s="2" t="s">
        <v>27</v>
      </c>
      <c r="Q20" s="2" t="n">
        <v>71</v>
      </c>
    </row>
    <row r="21" customFormat="false" ht="15" hidden="false" customHeight="false" outlineLevel="0" collapsed="false">
      <c r="A21" s="2" t="n">
        <v>252549852</v>
      </c>
      <c r="B21" s="3" t="n">
        <v>45798</v>
      </c>
      <c r="C21" s="2" t="s">
        <v>72</v>
      </c>
      <c r="D21" s="2" t="n">
        <v>252549852100</v>
      </c>
      <c r="E21" s="2" t="s">
        <v>18</v>
      </c>
      <c r="F21" s="2" t="s">
        <v>19</v>
      </c>
      <c r="G21" s="2" t="s">
        <v>20</v>
      </c>
      <c r="H21" s="2" t="s">
        <v>21</v>
      </c>
      <c r="I21" s="2" t="s">
        <v>35</v>
      </c>
      <c r="J21" s="2" t="s">
        <v>73</v>
      </c>
      <c r="K21" s="2"/>
      <c r="L21" s="2" t="s">
        <v>24</v>
      </c>
      <c r="M21" s="2" t="s">
        <v>74</v>
      </c>
      <c r="N21" s="2" t="n">
        <v>25254985</v>
      </c>
      <c r="O21" s="2" t="s">
        <v>26</v>
      </c>
      <c r="P21" s="2" t="s">
        <v>27</v>
      </c>
      <c r="Q21" s="2" t="n">
        <v>56</v>
      </c>
    </row>
    <row r="22" customFormat="false" ht="15" hidden="false" customHeight="false" outlineLevel="0" collapsed="false">
      <c r="A22" s="2" t="n">
        <v>254752182</v>
      </c>
      <c r="B22" s="3" t="n">
        <v>45845</v>
      </c>
      <c r="C22" s="2" t="s">
        <v>17</v>
      </c>
      <c r="D22" s="2" t="n">
        <v>254752182100</v>
      </c>
      <c r="E22" s="2" t="s">
        <v>18</v>
      </c>
      <c r="F22" s="2" t="s">
        <v>19</v>
      </c>
      <c r="G22" s="2" t="s">
        <v>20</v>
      </c>
      <c r="H22" s="2" t="s">
        <v>21</v>
      </c>
      <c r="I22" s="2"/>
      <c r="J22" s="2" t="s">
        <v>75</v>
      </c>
      <c r="K22" s="2"/>
      <c r="L22" s="2" t="s">
        <v>24</v>
      </c>
      <c r="M22" s="2" t="s">
        <v>76</v>
      </c>
      <c r="N22" s="2" t="n">
        <v>25475218</v>
      </c>
      <c r="O22" s="2" t="s">
        <v>26</v>
      </c>
      <c r="P22" s="2" t="s">
        <v>39</v>
      </c>
      <c r="Q22" s="2" t="s">
        <v>40</v>
      </c>
    </row>
    <row r="23" customFormat="false" ht="15" hidden="false" customHeight="false" outlineLevel="0" collapsed="false">
      <c r="A23" s="2" t="n">
        <v>256467542</v>
      </c>
      <c r="B23" s="3" t="n">
        <v>45883</v>
      </c>
      <c r="C23" s="2" t="s">
        <v>17</v>
      </c>
      <c r="D23" s="2" t="n">
        <v>256467542100</v>
      </c>
      <c r="E23" s="2" t="s">
        <v>18</v>
      </c>
      <c r="F23" s="2" t="s">
        <v>19</v>
      </c>
      <c r="G23" s="2" t="s">
        <v>20</v>
      </c>
      <c r="H23" s="2" t="s">
        <v>21</v>
      </c>
      <c r="I23" s="2" t="s">
        <v>22</v>
      </c>
      <c r="J23" s="2"/>
      <c r="K23" s="2"/>
      <c r="L23" s="2" t="s">
        <v>36</v>
      </c>
      <c r="M23" s="2" t="s">
        <v>77</v>
      </c>
      <c r="N23" s="2" t="n">
        <v>25646754</v>
      </c>
      <c r="O23" s="2" t="s">
        <v>38</v>
      </c>
      <c r="P23" s="2" t="s">
        <v>27</v>
      </c>
      <c r="Q23" s="2" t="n">
        <v>54</v>
      </c>
    </row>
    <row r="24" customFormat="false" ht="15" hidden="false" customHeight="false" outlineLevel="0" collapsed="false">
      <c r="A24" s="2" t="n">
        <v>257425034</v>
      </c>
      <c r="B24" s="3" t="n">
        <v>45911</v>
      </c>
      <c r="C24" s="2" t="s">
        <v>17</v>
      </c>
      <c r="D24" s="2" t="n">
        <v>257425034100</v>
      </c>
      <c r="E24" s="2" t="s">
        <v>18</v>
      </c>
      <c r="F24" s="2" t="s">
        <v>19</v>
      </c>
      <c r="G24" s="2" t="s">
        <v>20</v>
      </c>
      <c r="H24" s="2" t="s">
        <v>21</v>
      </c>
      <c r="I24" s="2" t="s">
        <v>35</v>
      </c>
      <c r="J24" s="2"/>
      <c r="K24" s="2"/>
      <c r="L24" s="2" t="s">
        <v>24</v>
      </c>
      <c r="M24" s="2" t="s">
        <v>78</v>
      </c>
      <c r="N24" s="2" t="n">
        <v>25742503</v>
      </c>
      <c r="O24" s="2" t="s">
        <v>38</v>
      </c>
      <c r="P24" s="2" t="s">
        <v>27</v>
      </c>
      <c r="Q24" s="2" t="n">
        <v>22</v>
      </c>
    </row>
  </sheetData>
  <autoFilter ref="A1:Q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8"/>
    <col collapsed="false" customWidth="true" hidden="false" outlineLevel="0" max="5" min="4" style="0" width="13"/>
    <col collapsed="false" customWidth="true" hidden="false" outlineLevel="0" max="6" min="6" style="0" width="16"/>
    <col collapsed="false" customWidth="true" hidden="false" outlineLevel="0" max="7" min="7" style="0" width="22"/>
    <col collapsed="false" customWidth="true" hidden="false" outlineLevel="0" max="8" min="8" style="0" width="52"/>
  </cols>
  <sheetData>
    <row r="1" customFormat="false" ht="30" hidden="false" customHeight="true" outlineLevel="0" collapsed="false">
      <c r="A1" s="1" t="s">
        <v>13</v>
      </c>
      <c r="B1" s="1" t="s">
        <v>79</v>
      </c>
      <c r="C1" s="1" t="s">
        <v>80</v>
      </c>
      <c r="D1" s="1" t="s">
        <v>81</v>
      </c>
      <c r="E1" s="1" t="s">
        <v>82</v>
      </c>
      <c r="F1" s="1" t="s">
        <v>83</v>
      </c>
      <c r="G1" s="1" t="s">
        <v>84</v>
      </c>
      <c r="H1" s="1" t="s">
        <v>85</v>
      </c>
    </row>
    <row r="2" customFormat="false" ht="15" hidden="false" customHeight="false" outlineLevel="0" collapsed="false">
      <c r="A2" s="2" t="n">
        <v>12429257</v>
      </c>
      <c r="B2" s="2" t="n">
        <v>124292576</v>
      </c>
      <c r="C2" s="2" t="n">
        <v>1</v>
      </c>
      <c r="D2" s="2" t="n">
        <v>1</v>
      </c>
      <c r="E2" s="2" t="n">
        <v>0</v>
      </c>
      <c r="F2" s="2" t="n">
        <v>1242925761</v>
      </c>
      <c r="G2" s="2" t="s">
        <v>21</v>
      </c>
      <c r="H2" s="2" t="s">
        <v>86</v>
      </c>
    </row>
    <row r="3" customFormat="false" ht="15" hidden="false" customHeight="false" outlineLevel="0" collapsed="false">
      <c r="A3" s="2" t="n">
        <v>13425431</v>
      </c>
      <c r="B3" s="2" t="n">
        <v>134254311</v>
      </c>
      <c r="C3" s="2" t="n">
        <v>1</v>
      </c>
      <c r="D3" s="2" t="n">
        <v>1</v>
      </c>
      <c r="E3" s="2" t="n">
        <v>0</v>
      </c>
      <c r="F3" s="2" t="n">
        <v>1342543111</v>
      </c>
      <c r="G3" s="2" t="s">
        <v>21</v>
      </c>
      <c r="H3" s="2" t="s">
        <v>86</v>
      </c>
    </row>
    <row r="4" customFormat="false" ht="15" hidden="false" customHeight="false" outlineLevel="0" collapsed="false">
      <c r="A4" s="2" t="n">
        <v>13766686</v>
      </c>
      <c r="B4" s="2" t="n">
        <v>137666861</v>
      </c>
      <c r="C4" s="2" t="n">
        <v>1</v>
      </c>
      <c r="D4" s="2" t="n">
        <v>1</v>
      </c>
      <c r="E4" s="2" t="n">
        <v>0</v>
      </c>
      <c r="F4" s="2" t="n">
        <v>137666861100</v>
      </c>
      <c r="G4" s="2" t="s">
        <v>21</v>
      </c>
      <c r="H4" s="2" t="s">
        <v>86</v>
      </c>
    </row>
    <row r="5" customFormat="false" ht="15" hidden="false" customHeight="false" outlineLevel="0" collapsed="false">
      <c r="A5" s="2" t="n">
        <v>14482522</v>
      </c>
      <c r="B5" s="2" t="n">
        <v>144825221</v>
      </c>
      <c r="C5" s="2" t="n">
        <v>1</v>
      </c>
      <c r="D5" s="2" t="n">
        <v>1</v>
      </c>
      <c r="E5" s="2" t="n">
        <v>0</v>
      </c>
      <c r="F5" s="2" t="n">
        <v>144825221100</v>
      </c>
      <c r="G5" s="2" t="s">
        <v>34</v>
      </c>
      <c r="H5" s="4" t="s">
        <v>87</v>
      </c>
    </row>
    <row r="6" customFormat="false" ht="15" hidden="false" customHeight="false" outlineLevel="0" collapsed="false">
      <c r="A6" s="2" t="n">
        <v>14506074</v>
      </c>
      <c r="B6" s="2" t="n">
        <v>145060741</v>
      </c>
      <c r="C6" s="2" t="n">
        <v>1</v>
      </c>
      <c r="D6" s="2" t="n">
        <v>1</v>
      </c>
      <c r="E6" s="2" t="n">
        <v>0</v>
      </c>
      <c r="F6" s="2" t="n">
        <v>145060741600</v>
      </c>
      <c r="G6" s="2" t="s">
        <v>34</v>
      </c>
      <c r="H6" s="4" t="s">
        <v>87</v>
      </c>
    </row>
    <row r="7" customFormat="false" ht="15" hidden="false" customHeight="false" outlineLevel="0" collapsed="false">
      <c r="A7" s="2" t="n">
        <v>14649366</v>
      </c>
      <c r="B7" s="2" t="n">
        <v>146493661</v>
      </c>
      <c r="C7" s="2" t="n">
        <v>1</v>
      </c>
      <c r="D7" s="2" t="n">
        <v>2</v>
      </c>
      <c r="E7" s="2" t="n">
        <v>1</v>
      </c>
      <c r="F7" s="2" t="n">
        <v>1464936612</v>
      </c>
      <c r="G7" s="2" t="s">
        <v>42</v>
      </c>
      <c r="H7" s="4" t="s">
        <v>88</v>
      </c>
    </row>
    <row r="8" customFormat="false" ht="15" hidden="false" customHeight="false" outlineLevel="0" collapsed="false">
      <c r="A8" s="2" t="n">
        <v>15460195</v>
      </c>
      <c r="B8" s="2" t="n">
        <v>154601951</v>
      </c>
      <c r="C8" s="2" t="n">
        <v>1</v>
      </c>
      <c r="D8" s="2" t="n">
        <v>20</v>
      </c>
      <c r="E8" s="2" t="n">
        <v>19</v>
      </c>
      <c r="F8" s="2" t="n">
        <v>1546019511</v>
      </c>
      <c r="G8" s="2" t="s">
        <v>21</v>
      </c>
      <c r="H8" s="2" t="s">
        <v>86</v>
      </c>
    </row>
    <row r="9" customFormat="false" ht="15" hidden="false" customHeight="false" outlineLevel="0" collapsed="false">
      <c r="A9" s="2" t="n">
        <v>15854706</v>
      </c>
      <c r="B9" s="2" t="n">
        <v>158547067</v>
      </c>
      <c r="C9" s="2" t="n">
        <v>4</v>
      </c>
      <c r="D9" s="2" t="n">
        <v>12</v>
      </c>
      <c r="E9" s="2" t="n">
        <v>11</v>
      </c>
      <c r="F9" s="2" t="n">
        <v>158547067100</v>
      </c>
      <c r="G9" s="2" t="s">
        <v>34</v>
      </c>
      <c r="H9" s="4" t="s">
        <v>87</v>
      </c>
    </row>
    <row r="10" customFormat="false" ht="15" hidden="false" customHeight="false" outlineLevel="0" collapsed="false">
      <c r="A10" s="2" t="n">
        <v>16274074</v>
      </c>
      <c r="B10" s="2" t="n">
        <v>162740743</v>
      </c>
      <c r="C10" s="2" t="n">
        <v>1</v>
      </c>
      <c r="D10" s="2" t="n">
        <v>1</v>
      </c>
      <c r="E10" s="2" t="n">
        <v>0</v>
      </c>
      <c r="F10" s="2" t="n">
        <v>1627407431</v>
      </c>
      <c r="G10" s="2" t="s">
        <v>21</v>
      </c>
      <c r="H10" s="2" t="s">
        <v>86</v>
      </c>
    </row>
    <row r="11" customFormat="false" ht="15" hidden="false" customHeight="false" outlineLevel="0" collapsed="false">
      <c r="A11" s="2" t="n">
        <v>16653068</v>
      </c>
      <c r="B11" s="2" t="n">
        <v>166530682</v>
      </c>
      <c r="C11" s="2" t="n">
        <v>1</v>
      </c>
      <c r="D11" s="2" t="n">
        <v>5</v>
      </c>
      <c r="E11" s="2" t="n">
        <v>4</v>
      </c>
      <c r="F11" s="2" t="n">
        <v>1665306824</v>
      </c>
      <c r="G11" s="2" t="s">
        <v>34</v>
      </c>
      <c r="H11" s="4" t="s">
        <v>87</v>
      </c>
    </row>
    <row r="12" customFormat="false" ht="15" hidden="false" customHeight="false" outlineLevel="0" collapsed="false">
      <c r="A12" s="2" t="n">
        <v>16757138</v>
      </c>
      <c r="B12" s="2" t="n">
        <v>167571382</v>
      </c>
      <c r="C12" s="2" t="n">
        <v>1</v>
      </c>
      <c r="D12" s="2" t="n">
        <v>1</v>
      </c>
      <c r="E12" s="2" t="n">
        <v>0</v>
      </c>
      <c r="F12" s="2" t="n">
        <v>1675713821</v>
      </c>
      <c r="G12" s="2" t="s">
        <v>21</v>
      </c>
      <c r="H12" s="2" t="s">
        <v>86</v>
      </c>
    </row>
    <row r="13" customFormat="false" ht="15" hidden="false" customHeight="false" outlineLevel="0" collapsed="false">
      <c r="A13" s="2" t="n">
        <v>19278105</v>
      </c>
      <c r="B13" s="2" t="n">
        <v>192781051</v>
      </c>
      <c r="C13" s="2" t="n">
        <v>1</v>
      </c>
      <c r="D13" s="2" t="n">
        <v>1</v>
      </c>
      <c r="E13" s="2" t="n">
        <v>0</v>
      </c>
      <c r="F13" s="2" t="n">
        <v>192781051100</v>
      </c>
      <c r="G13" s="2" t="s">
        <v>21</v>
      </c>
      <c r="H13" s="2" t="s">
        <v>86</v>
      </c>
    </row>
    <row r="14" customFormat="false" ht="15" hidden="false" customHeight="false" outlineLevel="0" collapsed="false">
      <c r="A14" s="2" t="n">
        <v>20768396</v>
      </c>
      <c r="B14" s="2" t="n">
        <v>207683962</v>
      </c>
      <c r="C14" s="2" t="n">
        <v>2</v>
      </c>
      <c r="D14" s="2" t="n">
        <v>2</v>
      </c>
      <c r="E14" s="2" t="n">
        <v>1</v>
      </c>
      <c r="F14" s="2" t="n">
        <v>207683962100</v>
      </c>
      <c r="G14" s="2" t="s">
        <v>21</v>
      </c>
      <c r="H14" s="2" t="s">
        <v>86</v>
      </c>
    </row>
    <row r="15" customFormat="false" ht="15" hidden="false" customHeight="false" outlineLevel="0" collapsed="false">
      <c r="A15" s="2" t="n">
        <v>23623846</v>
      </c>
      <c r="B15" s="2" t="n">
        <v>236238463</v>
      </c>
      <c r="C15" s="2" t="n">
        <v>1</v>
      </c>
      <c r="D15" s="2" t="n">
        <v>1</v>
      </c>
      <c r="E15" s="2" t="n">
        <v>0</v>
      </c>
      <c r="F15" s="2" t="n">
        <v>236238463100</v>
      </c>
      <c r="G15" s="2" t="s">
        <v>21</v>
      </c>
      <c r="H15" s="2" t="s">
        <v>86</v>
      </c>
    </row>
    <row r="16" customFormat="false" ht="15" hidden="false" customHeight="false" outlineLevel="0" collapsed="false">
      <c r="A16" s="2" t="n">
        <v>24135580</v>
      </c>
      <c r="B16" s="2" t="n">
        <v>241355802</v>
      </c>
      <c r="C16" s="2" t="n">
        <v>1</v>
      </c>
      <c r="D16" s="2" t="n">
        <v>1</v>
      </c>
      <c r="E16" s="2" t="n">
        <v>0</v>
      </c>
      <c r="F16" s="2" t="n">
        <v>241355802100</v>
      </c>
      <c r="G16" s="2" t="s">
        <v>21</v>
      </c>
      <c r="H16" s="2" t="s">
        <v>86</v>
      </c>
    </row>
    <row r="17" customFormat="false" ht="15" hidden="false" customHeight="false" outlineLevel="0" collapsed="false">
      <c r="A17" s="2" t="n">
        <v>24251305</v>
      </c>
      <c r="B17" s="2" t="n">
        <v>242513052</v>
      </c>
      <c r="C17" s="2" t="n">
        <v>1</v>
      </c>
      <c r="D17" s="2" t="n">
        <v>1</v>
      </c>
      <c r="E17" s="2" t="n">
        <v>0</v>
      </c>
      <c r="F17" s="2" t="n">
        <v>242513052100</v>
      </c>
      <c r="G17" s="2" t="s">
        <v>21</v>
      </c>
      <c r="H17" s="2" t="s">
        <v>86</v>
      </c>
    </row>
    <row r="18" customFormat="false" ht="15" hidden="false" customHeight="false" outlineLevel="0" collapsed="false">
      <c r="A18" s="2" t="n">
        <v>24593332</v>
      </c>
      <c r="B18" s="2" t="n">
        <v>245933322</v>
      </c>
      <c r="C18" s="2" t="n">
        <v>1</v>
      </c>
      <c r="D18" s="2" t="n">
        <v>3</v>
      </c>
      <c r="E18" s="2" t="n">
        <v>2</v>
      </c>
      <c r="F18" s="2" t="n">
        <v>245933322100</v>
      </c>
      <c r="G18" s="2" t="s">
        <v>21</v>
      </c>
      <c r="H18" s="2" t="s">
        <v>86</v>
      </c>
    </row>
    <row r="19" customFormat="false" ht="15" hidden="false" customHeight="false" outlineLevel="0" collapsed="false">
      <c r="A19" s="2" t="n">
        <v>25065283</v>
      </c>
      <c r="B19" s="2" t="n">
        <v>250652832</v>
      </c>
      <c r="C19" s="2" t="n">
        <v>1</v>
      </c>
      <c r="D19" s="2" t="n">
        <v>2</v>
      </c>
      <c r="E19" s="2" t="n">
        <v>1</v>
      </c>
      <c r="F19" s="2" t="n">
        <v>250652832100</v>
      </c>
      <c r="G19" s="2" t="s">
        <v>21</v>
      </c>
      <c r="H19" s="2" t="s">
        <v>86</v>
      </c>
    </row>
    <row r="20" customFormat="false" ht="15" hidden="false" customHeight="false" outlineLevel="0" collapsed="false">
      <c r="A20" s="2" t="n">
        <v>25091228</v>
      </c>
      <c r="B20" s="2" t="n">
        <v>250912281</v>
      </c>
      <c r="C20" s="2" t="n">
        <v>1</v>
      </c>
      <c r="D20" s="2" t="n">
        <v>1</v>
      </c>
      <c r="E20" s="2" t="n">
        <v>0</v>
      </c>
      <c r="F20" s="2" t="n">
        <v>250912281100</v>
      </c>
      <c r="G20" s="2" t="s">
        <v>21</v>
      </c>
      <c r="H20" s="2" t="s">
        <v>86</v>
      </c>
    </row>
    <row r="21" customFormat="false" ht="15" hidden="false" customHeight="false" outlineLevel="0" collapsed="false">
      <c r="A21" s="2" t="n">
        <v>25254985</v>
      </c>
      <c r="B21" s="2" t="n">
        <v>252549852</v>
      </c>
      <c r="C21" s="2" t="n">
        <v>1</v>
      </c>
      <c r="D21" s="2" t="n">
        <v>2</v>
      </c>
      <c r="E21" s="2" t="n">
        <v>1</v>
      </c>
      <c r="F21" s="2" t="n">
        <v>252549852100</v>
      </c>
      <c r="G21" s="2" t="s">
        <v>21</v>
      </c>
      <c r="H21" s="2" t="s">
        <v>86</v>
      </c>
    </row>
    <row r="22" customFormat="false" ht="15" hidden="false" customHeight="false" outlineLevel="0" collapsed="false">
      <c r="A22" s="2" t="n">
        <v>25475218</v>
      </c>
      <c r="B22" s="2" t="n">
        <v>254752182</v>
      </c>
      <c r="C22" s="2" t="n">
        <v>1</v>
      </c>
      <c r="D22" s="2" t="n">
        <v>1</v>
      </c>
      <c r="E22" s="2" t="n">
        <v>0</v>
      </c>
      <c r="F22" s="2" t="n">
        <v>254752182100</v>
      </c>
      <c r="G22" s="2" t="s">
        <v>21</v>
      </c>
      <c r="H22" s="2" t="s">
        <v>86</v>
      </c>
    </row>
    <row r="23" customFormat="false" ht="15" hidden="false" customHeight="false" outlineLevel="0" collapsed="false">
      <c r="A23" s="2" t="n">
        <v>25646754</v>
      </c>
      <c r="B23" s="2" t="n">
        <v>256467542</v>
      </c>
      <c r="C23" s="2" t="n">
        <v>1</v>
      </c>
      <c r="D23" s="2" t="n">
        <v>1</v>
      </c>
      <c r="E23" s="2" t="n">
        <v>0</v>
      </c>
      <c r="F23" s="2" t="n">
        <v>256467542100</v>
      </c>
      <c r="G23" s="2" t="s">
        <v>21</v>
      </c>
      <c r="H23" s="2" t="s">
        <v>86</v>
      </c>
    </row>
    <row r="24" customFormat="false" ht="15" hidden="false" customHeight="false" outlineLevel="0" collapsed="false">
      <c r="A24" s="2" t="n">
        <v>25742503</v>
      </c>
      <c r="B24" s="2" t="n">
        <v>257425034</v>
      </c>
      <c r="C24" s="2" t="n">
        <v>1</v>
      </c>
      <c r="D24" s="2" t="n">
        <v>3</v>
      </c>
      <c r="E24" s="2" t="n">
        <v>2</v>
      </c>
      <c r="F24" s="2" t="n">
        <v>257425034100</v>
      </c>
      <c r="G24" s="2" t="s">
        <v>21</v>
      </c>
      <c r="H24" s="2" t="s">
        <v>86</v>
      </c>
    </row>
    <row r="26" customFormat="false" ht="15" hidden="false" customHeight="false" outlineLevel="0" collapsed="false">
      <c r="A26" s="5" t="s">
        <v>89</v>
      </c>
      <c r="B26" s="6" t="n">
        <f aca="false">COUNTA('Deduplicated (23)'!$N$2:$N$24)</f>
        <v>23</v>
      </c>
    </row>
    <row r="27" customFormat="false" ht="15" hidden="false" customHeight="false" outlineLevel="0" collapsed="false">
      <c r="A27" s="5" t="s">
        <v>90</v>
      </c>
      <c r="B27" s="6" t="n">
        <f aca="false">COUNTA($A$2:$A$24)</f>
        <v>23</v>
      </c>
    </row>
    <row r="28" customFormat="false" ht="15" hidden="false" customHeight="false" outlineLevel="0" collapsed="false">
      <c r="A28" s="5" t="s">
        <v>82</v>
      </c>
      <c r="B28" s="6" t="n">
        <f aca="false">SUM($E$2:$E$24)</f>
        <v>42</v>
      </c>
    </row>
    <row r="29" customFormat="false" ht="15" hidden="false" customHeight="false" outlineLevel="0" collapsed="false">
      <c r="A29" s="5" t="s">
        <v>91</v>
      </c>
      <c r="B29" s="6" t="n">
        <f aca="false">$B$26+$B$28</f>
        <v>65</v>
      </c>
    </row>
  </sheetData>
  <autoFilter ref="A1:H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146493661</v>
      </c>
      <c r="B2" s="3" t="n">
        <v>43175</v>
      </c>
      <c r="C2" s="2" t="s">
        <v>17</v>
      </c>
      <c r="D2" s="2" t="n">
        <v>1464936613</v>
      </c>
      <c r="E2" s="2" t="s">
        <v>28</v>
      </c>
      <c r="F2" s="2"/>
      <c r="G2" s="2" t="s">
        <v>20</v>
      </c>
      <c r="H2" s="2" t="s">
        <v>42</v>
      </c>
      <c r="I2" s="2"/>
      <c r="J2" s="2"/>
      <c r="K2" s="2"/>
      <c r="L2" s="2"/>
      <c r="M2" s="2" t="s">
        <v>44</v>
      </c>
      <c r="N2" s="2" t="n">
        <v>14649366</v>
      </c>
      <c r="O2" s="2" t="s">
        <v>26</v>
      </c>
      <c r="P2" s="2" t="s">
        <v>39</v>
      </c>
      <c r="Q2" s="2" t="n">
        <v>55</v>
      </c>
    </row>
    <row r="3" customFormat="false" ht="15" hidden="false" customHeight="false" outlineLevel="0" collapsed="false">
      <c r="A3" s="2" t="n">
        <v>154601951</v>
      </c>
      <c r="B3" s="3" t="n">
        <v>43376</v>
      </c>
      <c r="C3" s="2" t="s">
        <v>45</v>
      </c>
      <c r="D3" s="2" t="n">
        <v>1546019512</v>
      </c>
      <c r="E3" s="2" t="s">
        <v>28</v>
      </c>
      <c r="F3" s="2"/>
      <c r="G3" s="2" t="s">
        <v>20</v>
      </c>
      <c r="H3" s="2" t="s">
        <v>34</v>
      </c>
      <c r="I3" s="2"/>
      <c r="J3" s="2" t="s">
        <v>29</v>
      </c>
      <c r="K3" s="2"/>
      <c r="L3" s="2"/>
      <c r="M3" s="2" t="s">
        <v>46</v>
      </c>
      <c r="N3" s="2" t="n">
        <v>15460195</v>
      </c>
      <c r="O3" s="2" t="s">
        <v>26</v>
      </c>
      <c r="P3" s="2" t="s">
        <v>47</v>
      </c>
      <c r="Q3" s="2" t="n">
        <v>28</v>
      </c>
    </row>
    <row r="4" customFormat="false" ht="15" hidden="false" customHeight="false" outlineLevel="0" collapsed="false">
      <c r="A4" s="2" t="n">
        <v>154601951</v>
      </c>
      <c r="B4" s="3" t="n">
        <v>43376</v>
      </c>
      <c r="C4" s="2" t="s">
        <v>45</v>
      </c>
      <c r="D4" s="2" t="n">
        <v>1546019513</v>
      </c>
      <c r="E4" s="2" t="s">
        <v>28</v>
      </c>
      <c r="F4" s="2"/>
      <c r="G4" s="2" t="s">
        <v>20</v>
      </c>
      <c r="H4" s="2" t="s">
        <v>34</v>
      </c>
      <c r="I4" s="2"/>
      <c r="J4" s="2" t="s">
        <v>29</v>
      </c>
      <c r="K4" s="2"/>
      <c r="L4" s="2"/>
      <c r="M4" s="2" t="s">
        <v>46</v>
      </c>
      <c r="N4" s="2" t="n">
        <v>15460195</v>
      </c>
      <c r="O4" s="2" t="s">
        <v>26</v>
      </c>
      <c r="P4" s="2" t="s">
        <v>47</v>
      </c>
      <c r="Q4" s="2" t="n">
        <v>28</v>
      </c>
    </row>
    <row r="5" customFormat="false" ht="15" hidden="false" customHeight="false" outlineLevel="0" collapsed="false">
      <c r="A5" s="2" t="n">
        <v>154601951</v>
      </c>
      <c r="B5" s="3" t="n">
        <v>43376</v>
      </c>
      <c r="C5" s="2" t="s">
        <v>45</v>
      </c>
      <c r="D5" s="2" t="n">
        <v>1546019514</v>
      </c>
      <c r="E5" s="2" t="s">
        <v>28</v>
      </c>
      <c r="F5" s="2"/>
      <c r="G5" s="2" t="s">
        <v>20</v>
      </c>
      <c r="H5" s="2" t="s">
        <v>34</v>
      </c>
      <c r="I5" s="2"/>
      <c r="J5" s="2" t="s">
        <v>29</v>
      </c>
      <c r="K5" s="2"/>
      <c r="L5" s="2"/>
      <c r="M5" s="2" t="s">
        <v>46</v>
      </c>
      <c r="N5" s="2" t="n">
        <v>15460195</v>
      </c>
      <c r="O5" s="2" t="s">
        <v>26</v>
      </c>
      <c r="P5" s="2" t="s">
        <v>47</v>
      </c>
      <c r="Q5" s="2" t="n">
        <v>28</v>
      </c>
    </row>
    <row r="6" customFormat="false" ht="15" hidden="false" customHeight="false" outlineLevel="0" collapsed="false">
      <c r="A6" s="2" t="n">
        <v>154601951</v>
      </c>
      <c r="B6" s="3" t="n">
        <v>43376</v>
      </c>
      <c r="C6" s="2" t="s">
        <v>45</v>
      </c>
      <c r="D6" s="2" t="n">
        <v>1546019515</v>
      </c>
      <c r="E6" s="2" t="s">
        <v>28</v>
      </c>
      <c r="F6" s="2"/>
      <c r="G6" s="2" t="s">
        <v>20</v>
      </c>
      <c r="H6" s="2" t="s">
        <v>34</v>
      </c>
      <c r="I6" s="2"/>
      <c r="J6" s="2" t="s">
        <v>29</v>
      </c>
      <c r="K6" s="2"/>
      <c r="L6" s="2"/>
      <c r="M6" s="2" t="s">
        <v>46</v>
      </c>
      <c r="N6" s="2" t="n">
        <v>15460195</v>
      </c>
      <c r="O6" s="2" t="s">
        <v>26</v>
      </c>
      <c r="P6" s="2" t="s">
        <v>47</v>
      </c>
      <c r="Q6" s="2" t="n">
        <v>28</v>
      </c>
    </row>
    <row r="7" customFormat="false" ht="15" hidden="false" customHeight="false" outlineLevel="0" collapsed="false">
      <c r="A7" s="2" t="n">
        <v>154601951</v>
      </c>
      <c r="B7" s="3" t="n">
        <v>43376</v>
      </c>
      <c r="C7" s="2" t="s">
        <v>45</v>
      </c>
      <c r="D7" s="2" t="n">
        <v>1546019516</v>
      </c>
      <c r="E7" s="2" t="s">
        <v>28</v>
      </c>
      <c r="F7" s="2"/>
      <c r="G7" s="2" t="s">
        <v>20</v>
      </c>
      <c r="H7" s="2" t="s">
        <v>34</v>
      </c>
      <c r="I7" s="2"/>
      <c r="J7" s="2" t="s">
        <v>29</v>
      </c>
      <c r="K7" s="2"/>
      <c r="L7" s="2"/>
      <c r="M7" s="2" t="s">
        <v>46</v>
      </c>
      <c r="N7" s="2" t="n">
        <v>15460195</v>
      </c>
      <c r="O7" s="2" t="s">
        <v>26</v>
      </c>
      <c r="P7" s="2" t="s">
        <v>47</v>
      </c>
      <c r="Q7" s="2" t="n">
        <v>28</v>
      </c>
    </row>
    <row r="8" customFormat="false" ht="15" hidden="false" customHeight="false" outlineLevel="0" collapsed="false">
      <c r="A8" s="2" t="n">
        <v>154601951</v>
      </c>
      <c r="B8" s="3" t="n">
        <v>43376</v>
      </c>
      <c r="C8" s="2" t="s">
        <v>45</v>
      </c>
      <c r="D8" s="2" t="n">
        <v>1546019517</v>
      </c>
      <c r="E8" s="2" t="s">
        <v>28</v>
      </c>
      <c r="F8" s="2"/>
      <c r="G8" s="2" t="s">
        <v>20</v>
      </c>
      <c r="H8" s="2" t="s">
        <v>34</v>
      </c>
      <c r="I8" s="2"/>
      <c r="J8" s="2" t="s">
        <v>29</v>
      </c>
      <c r="K8" s="2"/>
      <c r="L8" s="2"/>
      <c r="M8" s="2" t="s">
        <v>46</v>
      </c>
      <c r="N8" s="2" t="n">
        <v>15460195</v>
      </c>
      <c r="O8" s="2" t="s">
        <v>26</v>
      </c>
      <c r="P8" s="2" t="s">
        <v>47</v>
      </c>
      <c r="Q8" s="2" t="n">
        <v>28</v>
      </c>
    </row>
    <row r="9" customFormat="false" ht="15" hidden="false" customHeight="false" outlineLevel="0" collapsed="false">
      <c r="A9" s="2" t="n">
        <v>154601951</v>
      </c>
      <c r="B9" s="3" t="n">
        <v>43376</v>
      </c>
      <c r="C9" s="2" t="s">
        <v>45</v>
      </c>
      <c r="D9" s="2" t="n">
        <v>1546019518</v>
      </c>
      <c r="E9" s="2" t="s">
        <v>28</v>
      </c>
      <c r="F9" s="2"/>
      <c r="G9" s="2" t="s">
        <v>20</v>
      </c>
      <c r="H9" s="2" t="s">
        <v>34</v>
      </c>
      <c r="I9" s="2"/>
      <c r="J9" s="2" t="s">
        <v>92</v>
      </c>
      <c r="K9" s="2"/>
      <c r="L9" s="2"/>
      <c r="M9" s="2" t="s">
        <v>46</v>
      </c>
      <c r="N9" s="2" t="n">
        <v>15460195</v>
      </c>
      <c r="O9" s="2" t="s">
        <v>26</v>
      </c>
      <c r="P9" s="2" t="s">
        <v>47</v>
      </c>
      <c r="Q9" s="2" t="n">
        <v>28</v>
      </c>
    </row>
    <row r="10" customFormat="false" ht="15" hidden="false" customHeight="false" outlineLevel="0" collapsed="false">
      <c r="A10" s="2" t="n">
        <v>154601951</v>
      </c>
      <c r="B10" s="3" t="n">
        <v>43376</v>
      </c>
      <c r="C10" s="2" t="s">
        <v>45</v>
      </c>
      <c r="D10" s="2" t="n">
        <v>1546019519</v>
      </c>
      <c r="E10" s="2" t="s">
        <v>28</v>
      </c>
      <c r="F10" s="2"/>
      <c r="G10" s="2" t="s">
        <v>20</v>
      </c>
      <c r="H10" s="2" t="s">
        <v>34</v>
      </c>
      <c r="I10" s="2"/>
      <c r="J10" s="2" t="s">
        <v>93</v>
      </c>
      <c r="K10" s="2"/>
      <c r="L10" s="2"/>
      <c r="M10" s="2" t="s">
        <v>46</v>
      </c>
      <c r="N10" s="2" t="n">
        <v>15460195</v>
      </c>
      <c r="O10" s="2" t="s">
        <v>26</v>
      </c>
      <c r="P10" s="2" t="s">
        <v>47</v>
      </c>
      <c r="Q10" s="2" t="n">
        <v>28</v>
      </c>
    </row>
    <row r="11" customFormat="false" ht="15" hidden="false" customHeight="false" outlineLevel="0" collapsed="false">
      <c r="A11" s="2" t="n">
        <v>154601951</v>
      </c>
      <c r="B11" s="3" t="n">
        <v>43376</v>
      </c>
      <c r="C11" s="2" t="s">
        <v>45</v>
      </c>
      <c r="D11" s="2" t="n">
        <v>15460195110</v>
      </c>
      <c r="E11" s="2" t="s">
        <v>28</v>
      </c>
      <c r="F11" s="2"/>
      <c r="G11" s="2" t="s">
        <v>20</v>
      </c>
      <c r="H11" s="2" t="s">
        <v>34</v>
      </c>
      <c r="I11" s="2"/>
      <c r="J11" s="2" t="s">
        <v>29</v>
      </c>
      <c r="K11" s="2"/>
      <c r="L11" s="2"/>
      <c r="M11" s="2" t="s">
        <v>46</v>
      </c>
      <c r="N11" s="2" t="n">
        <v>15460195</v>
      </c>
      <c r="O11" s="2" t="s">
        <v>26</v>
      </c>
      <c r="P11" s="2" t="s">
        <v>47</v>
      </c>
      <c r="Q11" s="2" t="n">
        <v>28</v>
      </c>
    </row>
    <row r="12" customFormat="false" ht="15" hidden="false" customHeight="false" outlineLevel="0" collapsed="false">
      <c r="A12" s="2" t="n">
        <v>154601951</v>
      </c>
      <c r="B12" s="3" t="n">
        <v>43376</v>
      </c>
      <c r="C12" s="2" t="s">
        <v>45</v>
      </c>
      <c r="D12" s="2" t="n">
        <v>15460195111</v>
      </c>
      <c r="E12" s="2" t="s">
        <v>28</v>
      </c>
      <c r="F12" s="2"/>
      <c r="G12" s="2" t="s">
        <v>20</v>
      </c>
      <c r="H12" s="2" t="s">
        <v>34</v>
      </c>
      <c r="I12" s="2"/>
      <c r="J12" s="2" t="s">
        <v>94</v>
      </c>
      <c r="K12" s="2"/>
      <c r="L12" s="2"/>
      <c r="M12" s="2" t="s">
        <v>46</v>
      </c>
      <c r="N12" s="2" t="n">
        <v>15460195</v>
      </c>
      <c r="O12" s="2" t="s">
        <v>26</v>
      </c>
      <c r="P12" s="2" t="s">
        <v>47</v>
      </c>
      <c r="Q12" s="2" t="n">
        <v>28</v>
      </c>
    </row>
    <row r="13" customFormat="false" ht="15" hidden="false" customHeight="false" outlineLevel="0" collapsed="false">
      <c r="A13" s="2" t="n">
        <v>154601951</v>
      </c>
      <c r="B13" s="3" t="n">
        <v>43376</v>
      </c>
      <c r="C13" s="2" t="s">
        <v>45</v>
      </c>
      <c r="D13" s="2" t="n">
        <v>15460195112</v>
      </c>
      <c r="E13" s="2" t="s">
        <v>28</v>
      </c>
      <c r="F13" s="2"/>
      <c r="G13" s="2" t="s">
        <v>20</v>
      </c>
      <c r="H13" s="2" t="s">
        <v>34</v>
      </c>
      <c r="I13" s="2"/>
      <c r="J13" s="2" t="s">
        <v>95</v>
      </c>
      <c r="K13" s="2"/>
      <c r="L13" s="2"/>
      <c r="M13" s="2" t="s">
        <v>46</v>
      </c>
      <c r="N13" s="2" t="n">
        <v>15460195</v>
      </c>
      <c r="O13" s="2" t="s">
        <v>26</v>
      </c>
      <c r="P13" s="2" t="s">
        <v>47</v>
      </c>
      <c r="Q13" s="2" t="n">
        <v>28</v>
      </c>
    </row>
    <row r="14" customFormat="false" ht="15" hidden="false" customHeight="false" outlineLevel="0" collapsed="false">
      <c r="A14" s="2" t="n">
        <v>154601951</v>
      </c>
      <c r="B14" s="3" t="n">
        <v>43376</v>
      </c>
      <c r="C14" s="2" t="s">
        <v>45</v>
      </c>
      <c r="D14" s="2" t="n">
        <v>15460195113</v>
      </c>
      <c r="E14" s="2" t="s">
        <v>28</v>
      </c>
      <c r="F14" s="2"/>
      <c r="G14" s="2" t="s">
        <v>20</v>
      </c>
      <c r="H14" s="2" t="s">
        <v>34</v>
      </c>
      <c r="I14" s="2"/>
      <c r="J14" s="2" t="s">
        <v>29</v>
      </c>
      <c r="K14" s="2"/>
      <c r="L14" s="2"/>
      <c r="M14" s="2" t="s">
        <v>46</v>
      </c>
      <c r="N14" s="2" t="n">
        <v>15460195</v>
      </c>
      <c r="O14" s="2" t="s">
        <v>26</v>
      </c>
      <c r="P14" s="2" t="s">
        <v>47</v>
      </c>
      <c r="Q14" s="2" t="n">
        <v>28</v>
      </c>
    </row>
    <row r="15" customFormat="false" ht="15" hidden="false" customHeight="false" outlineLevel="0" collapsed="false">
      <c r="A15" s="2" t="n">
        <v>154601951</v>
      </c>
      <c r="B15" s="3" t="n">
        <v>43376</v>
      </c>
      <c r="C15" s="2" t="s">
        <v>45</v>
      </c>
      <c r="D15" s="2" t="n">
        <v>15460195114</v>
      </c>
      <c r="E15" s="2" t="s">
        <v>28</v>
      </c>
      <c r="F15" s="2"/>
      <c r="G15" s="2" t="s">
        <v>20</v>
      </c>
      <c r="H15" s="2" t="s">
        <v>34</v>
      </c>
      <c r="I15" s="2"/>
      <c r="J15" s="2" t="s">
        <v>96</v>
      </c>
      <c r="K15" s="2"/>
      <c r="L15" s="2"/>
      <c r="M15" s="2" t="s">
        <v>46</v>
      </c>
      <c r="N15" s="2" t="n">
        <v>15460195</v>
      </c>
      <c r="O15" s="2" t="s">
        <v>26</v>
      </c>
      <c r="P15" s="2" t="s">
        <v>47</v>
      </c>
      <c r="Q15" s="2" t="n">
        <v>28</v>
      </c>
    </row>
    <row r="16" customFormat="false" ht="15" hidden="false" customHeight="false" outlineLevel="0" collapsed="false">
      <c r="A16" s="2" t="n">
        <v>154601951</v>
      </c>
      <c r="B16" s="3" t="n">
        <v>43376</v>
      </c>
      <c r="C16" s="2" t="s">
        <v>45</v>
      </c>
      <c r="D16" s="2" t="n">
        <v>15460195115</v>
      </c>
      <c r="E16" s="2" t="s">
        <v>28</v>
      </c>
      <c r="F16" s="2"/>
      <c r="G16" s="2" t="s">
        <v>20</v>
      </c>
      <c r="H16" s="2" t="s">
        <v>34</v>
      </c>
      <c r="I16" s="2"/>
      <c r="J16" s="2" t="s">
        <v>29</v>
      </c>
      <c r="K16" s="2"/>
      <c r="L16" s="2"/>
      <c r="M16" s="2" t="s">
        <v>46</v>
      </c>
      <c r="N16" s="2" t="n">
        <v>15460195</v>
      </c>
      <c r="O16" s="2" t="s">
        <v>26</v>
      </c>
      <c r="P16" s="2" t="s">
        <v>47</v>
      </c>
      <c r="Q16" s="2" t="n">
        <v>28</v>
      </c>
    </row>
    <row r="17" customFormat="false" ht="15" hidden="false" customHeight="false" outlineLevel="0" collapsed="false">
      <c r="A17" s="2" t="n">
        <v>154601951</v>
      </c>
      <c r="B17" s="3" t="n">
        <v>43376</v>
      </c>
      <c r="C17" s="2" t="s">
        <v>45</v>
      </c>
      <c r="D17" s="2" t="n">
        <v>15460195116</v>
      </c>
      <c r="E17" s="2" t="s">
        <v>28</v>
      </c>
      <c r="F17" s="2"/>
      <c r="G17" s="2" t="s">
        <v>20</v>
      </c>
      <c r="H17" s="2" t="s">
        <v>34</v>
      </c>
      <c r="I17" s="2"/>
      <c r="J17" s="2" t="s">
        <v>29</v>
      </c>
      <c r="K17" s="2"/>
      <c r="L17" s="2"/>
      <c r="M17" s="2" t="s">
        <v>46</v>
      </c>
      <c r="N17" s="2" t="n">
        <v>15460195</v>
      </c>
      <c r="O17" s="2" t="s">
        <v>26</v>
      </c>
      <c r="P17" s="2" t="s">
        <v>47</v>
      </c>
      <c r="Q17" s="2" t="n">
        <v>28</v>
      </c>
    </row>
    <row r="18" customFormat="false" ht="15" hidden="false" customHeight="false" outlineLevel="0" collapsed="false">
      <c r="A18" s="2" t="n">
        <v>154601951</v>
      </c>
      <c r="B18" s="3" t="n">
        <v>43376</v>
      </c>
      <c r="C18" s="2" t="s">
        <v>45</v>
      </c>
      <c r="D18" s="2" t="n">
        <v>15460195117</v>
      </c>
      <c r="E18" s="2" t="s">
        <v>28</v>
      </c>
      <c r="F18" s="2"/>
      <c r="G18" s="2" t="s">
        <v>20</v>
      </c>
      <c r="H18" s="2" t="s">
        <v>34</v>
      </c>
      <c r="I18" s="2"/>
      <c r="J18" s="2" t="s">
        <v>29</v>
      </c>
      <c r="K18" s="2"/>
      <c r="L18" s="2"/>
      <c r="M18" s="2" t="s">
        <v>46</v>
      </c>
      <c r="N18" s="2" t="n">
        <v>15460195</v>
      </c>
      <c r="O18" s="2" t="s">
        <v>26</v>
      </c>
      <c r="P18" s="2" t="s">
        <v>47</v>
      </c>
      <c r="Q18" s="2" t="n">
        <v>28</v>
      </c>
    </row>
    <row r="19" customFormat="false" ht="15" hidden="false" customHeight="false" outlineLevel="0" collapsed="false">
      <c r="A19" s="2" t="n">
        <v>154601951</v>
      </c>
      <c r="B19" s="3" t="n">
        <v>43376</v>
      </c>
      <c r="C19" s="2" t="s">
        <v>45</v>
      </c>
      <c r="D19" s="2" t="n">
        <v>15460195118</v>
      </c>
      <c r="E19" s="2" t="s">
        <v>28</v>
      </c>
      <c r="F19" s="2"/>
      <c r="G19" s="2" t="s">
        <v>20</v>
      </c>
      <c r="H19" s="2" t="s">
        <v>34</v>
      </c>
      <c r="I19" s="2"/>
      <c r="J19" s="2" t="s">
        <v>29</v>
      </c>
      <c r="K19" s="2"/>
      <c r="L19" s="2"/>
      <c r="M19" s="2" t="s">
        <v>46</v>
      </c>
      <c r="N19" s="2" t="n">
        <v>15460195</v>
      </c>
      <c r="O19" s="2" t="s">
        <v>26</v>
      </c>
      <c r="P19" s="2" t="s">
        <v>47</v>
      </c>
      <c r="Q19" s="2" t="n">
        <v>28</v>
      </c>
    </row>
    <row r="20" customFormat="false" ht="15" hidden="false" customHeight="false" outlineLevel="0" collapsed="false">
      <c r="A20" s="2" t="n">
        <v>154601951</v>
      </c>
      <c r="B20" s="3" t="n">
        <v>43376</v>
      </c>
      <c r="C20" s="2" t="s">
        <v>45</v>
      </c>
      <c r="D20" s="2" t="n">
        <v>15460195119</v>
      </c>
      <c r="E20" s="2" t="s">
        <v>28</v>
      </c>
      <c r="F20" s="2"/>
      <c r="G20" s="2" t="s">
        <v>20</v>
      </c>
      <c r="H20" s="2" t="s">
        <v>34</v>
      </c>
      <c r="I20" s="2"/>
      <c r="J20" s="2" t="s">
        <v>29</v>
      </c>
      <c r="K20" s="2"/>
      <c r="L20" s="2"/>
      <c r="M20" s="2" t="s">
        <v>46</v>
      </c>
      <c r="N20" s="2" t="n">
        <v>15460195</v>
      </c>
      <c r="O20" s="2" t="s">
        <v>26</v>
      </c>
      <c r="P20" s="2" t="s">
        <v>47</v>
      </c>
      <c r="Q20" s="2" t="n">
        <v>28</v>
      </c>
    </row>
    <row r="21" customFormat="false" ht="15" hidden="false" customHeight="false" outlineLevel="0" collapsed="false">
      <c r="A21" s="2" t="n">
        <v>154601951</v>
      </c>
      <c r="B21" s="3" t="n">
        <v>43376</v>
      </c>
      <c r="C21" s="2" t="s">
        <v>45</v>
      </c>
      <c r="D21" s="2" t="n">
        <v>15460195120</v>
      </c>
      <c r="E21" s="2" t="s">
        <v>28</v>
      </c>
      <c r="F21" s="2"/>
      <c r="G21" s="2" t="s">
        <v>20</v>
      </c>
      <c r="H21" s="2" t="s">
        <v>34</v>
      </c>
      <c r="I21" s="2"/>
      <c r="J21" s="2" t="s">
        <v>29</v>
      </c>
      <c r="K21" s="2"/>
      <c r="L21" s="2"/>
      <c r="M21" s="2" t="s">
        <v>46</v>
      </c>
      <c r="N21" s="2" t="n">
        <v>15460195</v>
      </c>
      <c r="O21" s="2" t="s">
        <v>26</v>
      </c>
      <c r="P21" s="2" t="s">
        <v>47</v>
      </c>
      <c r="Q21" s="2" t="n">
        <v>28</v>
      </c>
    </row>
    <row r="22" customFormat="false" ht="15" hidden="false" customHeight="false" outlineLevel="0" collapsed="false">
      <c r="A22" s="2" t="n">
        <v>158547063</v>
      </c>
      <c r="B22" s="3" t="n">
        <v>43493</v>
      </c>
      <c r="C22" s="2" t="s">
        <v>17</v>
      </c>
      <c r="D22" s="2" t="n">
        <v>1585470631</v>
      </c>
      <c r="E22" s="2" t="s">
        <v>28</v>
      </c>
      <c r="F22" s="2"/>
      <c r="G22" s="2" t="s">
        <v>20</v>
      </c>
      <c r="H22" s="2" t="s">
        <v>34</v>
      </c>
      <c r="I22" s="2"/>
      <c r="J22" s="2" t="s">
        <v>41</v>
      </c>
      <c r="K22" s="2"/>
      <c r="L22" s="2"/>
      <c r="M22" s="2" t="s">
        <v>52</v>
      </c>
      <c r="N22" s="2" t="n">
        <v>15854706</v>
      </c>
      <c r="O22" s="2" t="s">
        <v>26</v>
      </c>
      <c r="P22" s="2" t="s">
        <v>39</v>
      </c>
      <c r="Q22" s="2" t="n">
        <v>40</v>
      </c>
    </row>
    <row r="23" customFormat="false" ht="15" hidden="false" customHeight="false" outlineLevel="0" collapsed="false">
      <c r="A23" s="2" t="n">
        <v>158547063</v>
      </c>
      <c r="B23" s="3" t="n">
        <v>43493</v>
      </c>
      <c r="C23" s="2" t="s">
        <v>17</v>
      </c>
      <c r="D23" s="2" t="n">
        <v>1585470632</v>
      </c>
      <c r="E23" s="2" t="s">
        <v>28</v>
      </c>
      <c r="F23" s="2"/>
      <c r="G23" s="2" t="s">
        <v>20</v>
      </c>
      <c r="H23" s="2" t="s">
        <v>34</v>
      </c>
      <c r="I23" s="2"/>
      <c r="J23" s="2" t="s">
        <v>41</v>
      </c>
      <c r="K23" s="2"/>
      <c r="L23" s="2"/>
      <c r="M23" s="2" t="s">
        <v>52</v>
      </c>
      <c r="N23" s="2" t="n">
        <v>15854706</v>
      </c>
      <c r="O23" s="2" t="s">
        <v>26</v>
      </c>
      <c r="P23" s="2" t="s">
        <v>39</v>
      </c>
      <c r="Q23" s="2" t="n">
        <v>40</v>
      </c>
    </row>
    <row r="24" customFormat="false" ht="15" hidden="false" customHeight="false" outlineLevel="0" collapsed="false">
      <c r="A24" s="2" t="n">
        <v>158547063</v>
      </c>
      <c r="B24" s="3" t="n">
        <v>43493</v>
      </c>
      <c r="C24" s="2" t="s">
        <v>17</v>
      </c>
      <c r="D24" s="2" t="n">
        <v>1585470633</v>
      </c>
      <c r="E24" s="2" t="s">
        <v>28</v>
      </c>
      <c r="F24" s="2"/>
      <c r="G24" s="2" t="s">
        <v>20</v>
      </c>
      <c r="H24" s="2" t="s">
        <v>34</v>
      </c>
      <c r="I24" s="2"/>
      <c r="J24" s="2" t="s">
        <v>97</v>
      </c>
      <c r="K24" s="2"/>
      <c r="L24" s="2"/>
      <c r="M24" s="2" t="s">
        <v>52</v>
      </c>
      <c r="N24" s="2" t="n">
        <v>15854706</v>
      </c>
      <c r="O24" s="2" t="s">
        <v>26</v>
      </c>
      <c r="P24" s="2" t="s">
        <v>39</v>
      </c>
      <c r="Q24" s="2" t="n">
        <v>40</v>
      </c>
    </row>
    <row r="25" customFormat="false" ht="15" hidden="false" customHeight="false" outlineLevel="0" collapsed="false">
      <c r="A25" s="2" t="n">
        <v>158547065</v>
      </c>
      <c r="B25" s="3" t="n">
        <v>43713</v>
      </c>
      <c r="C25" s="2" t="s">
        <v>17</v>
      </c>
      <c r="D25" s="2" t="n">
        <v>1585470651</v>
      </c>
      <c r="E25" s="2" t="s">
        <v>28</v>
      </c>
      <c r="F25" s="2"/>
      <c r="G25" s="2" t="s">
        <v>20</v>
      </c>
      <c r="H25" s="2" t="s">
        <v>34</v>
      </c>
      <c r="I25" s="2"/>
      <c r="J25" s="2" t="s">
        <v>41</v>
      </c>
      <c r="K25" s="2"/>
      <c r="L25" s="2"/>
      <c r="M25" s="2" t="s">
        <v>98</v>
      </c>
      <c r="N25" s="2" t="n">
        <v>15854706</v>
      </c>
      <c r="O25" s="2" t="s">
        <v>26</v>
      </c>
      <c r="P25" s="2" t="s">
        <v>39</v>
      </c>
      <c r="Q25" s="2" t="n">
        <v>40</v>
      </c>
    </row>
    <row r="26" customFormat="false" ht="15" hidden="false" customHeight="false" outlineLevel="0" collapsed="false">
      <c r="A26" s="2" t="n">
        <v>158547065</v>
      </c>
      <c r="B26" s="3" t="n">
        <v>43713</v>
      </c>
      <c r="C26" s="2" t="s">
        <v>17</v>
      </c>
      <c r="D26" s="2" t="n">
        <v>1585470652</v>
      </c>
      <c r="E26" s="2" t="s">
        <v>28</v>
      </c>
      <c r="F26" s="2"/>
      <c r="G26" s="2" t="s">
        <v>20</v>
      </c>
      <c r="H26" s="2" t="s">
        <v>34</v>
      </c>
      <c r="I26" s="2"/>
      <c r="J26" s="2" t="s">
        <v>41</v>
      </c>
      <c r="K26" s="2"/>
      <c r="L26" s="2"/>
      <c r="M26" s="2" t="s">
        <v>98</v>
      </c>
      <c r="N26" s="2" t="n">
        <v>15854706</v>
      </c>
      <c r="O26" s="2" t="s">
        <v>26</v>
      </c>
      <c r="P26" s="2" t="s">
        <v>39</v>
      </c>
      <c r="Q26" s="2" t="n">
        <v>40</v>
      </c>
    </row>
    <row r="27" customFormat="false" ht="15" hidden="false" customHeight="false" outlineLevel="0" collapsed="false">
      <c r="A27" s="2" t="n">
        <v>158547065</v>
      </c>
      <c r="B27" s="3" t="n">
        <v>43713</v>
      </c>
      <c r="C27" s="2" t="s">
        <v>17</v>
      </c>
      <c r="D27" s="2" t="n">
        <v>1585470653</v>
      </c>
      <c r="E27" s="2" t="s">
        <v>28</v>
      </c>
      <c r="F27" s="2"/>
      <c r="G27" s="2" t="s">
        <v>20</v>
      </c>
      <c r="H27" s="2" t="s">
        <v>34</v>
      </c>
      <c r="I27" s="2"/>
      <c r="J27" s="2" t="s">
        <v>97</v>
      </c>
      <c r="K27" s="2"/>
      <c r="L27" s="2"/>
      <c r="M27" s="2" t="s">
        <v>98</v>
      </c>
      <c r="N27" s="2" t="n">
        <v>15854706</v>
      </c>
      <c r="O27" s="2" t="s">
        <v>26</v>
      </c>
      <c r="P27" s="2" t="s">
        <v>39</v>
      </c>
      <c r="Q27" s="2" t="n">
        <v>40</v>
      </c>
    </row>
    <row r="28" customFormat="false" ht="15" hidden="false" customHeight="false" outlineLevel="0" collapsed="false">
      <c r="A28" s="2" t="n">
        <v>158547066</v>
      </c>
      <c r="B28" s="3" t="n">
        <v>43878</v>
      </c>
      <c r="C28" s="2" t="s">
        <v>17</v>
      </c>
      <c r="D28" s="2" t="n">
        <v>1585470661</v>
      </c>
      <c r="E28" s="2" t="s">
        <v>28</v>
      </c>
      <c r="F28" s="2"/>
      <c r="G28" s="2" t="s">
        <v>20</v>
      </c>
      <c r="H28" s="2" t="s">
        <v>34</v>
      </c>
      <c r="I28" s="2"/>
      <c r="J28" s="2" t="s">
        <v>41</v>
      </c>
      <c r="K28" s="2"/>
      <c r="L28" s="2"/>
      <c r="M28" s="2" t="s">
        <v>48</v>
      </c>
      <c r="N28" s="2" t="n">
        <v>15854706</v>
      </c>
      <c r="O28" s="2" t="s">
        <v>26</v>
      </c>
      <c r="P28" s="2" t="s">
        <v>39</v>
      </c>
      <c r="Q28" s="2" t="n">
        <v>40</v>
      </c>
    </row>
    <row r="29" customFormat="false" ht="15" hidden="false" customHeight="false" outlineLevel="0" collapsed="false">
      <c r="A29" s="2" t="n">
        <v>158547066</v>
      </c>
      <c r="B29" s="3" t="n">
        <v>43878</v>
      </c>
      <c r="C29" s="2" t="s">
        <v>17</v>
      </c>
      <c r="D29" s="2" t="n">
        <v>1585470662</v>
      </c>
      <c r="E29" s="2" t="s">
        <v>28</v>
      </c>
      <c r="F29" s="2"/>
      <c r="G29" s="2" t="s">
        <v>20</v>
      </c>
      <c r="H29" s="2" t="s">
        <v>34</v>
      </c>
      <c r="I29" s="2"/>
      <c r="J29" s="2" t="s">
        <v>41</v>
      </c>
      <c r="K29" s="2"/>
      <c r="L29" s="2"/>
      <c r="M29" s="2" t="s">
        <v>48</v>
      </c>
      <c r="N29" s="2" t="n">
        <v>15854706</v>
      </c>
      <c r="O29" s="2" t="s">
        <v>26</v>
      </c>
      <c r="P29" s="2" t="s">
        <v>39</v>
      </c>
      <c r="Q29" s="2" t="n">
        <v>40</v>
      </c>
    </row>
    <row r="30" customFormat="false" ht="15" hidden="false" customHeight="false" outlineLevel="0" collapsed="false">
      <c r="A30" s="2" t="n">
        <v>158547066</v>
      </c>
      <c r="B30" s="3" t="n">
        <v>43878</v>
      </c>
      <c r="C30" s="2" t="s">
        <v>17</v>
      </c>
      <c r="D30" s="2" t="n">
        <v>1585470663</v>
      </c>
      <c r="E30" s="2" t="s">
        <v>28</v>
      </c>
      <c r="F30" s="2"/>
      <c r="G30" s="2" t="s">
        <v>20</v>
      </c>
      <c r="H30" s="2" t="s">
        <v>34</v>
      </c>
      <c r="I30" s="2"/>
      <c r="J30" s="2" t="s">
        <v>97</v>
      </c>
      <c r="K30" s="2"/>
      <c r="L30" s="2"/>
      <c r="M30" s="2" t="s">
        <v>48</v>
      </c>
      <c r="N30" s="2" t="n">
        <v>15854706</v>
      </c>
      <c r="O30" s="2" t="s">
        <v>26</v>
      </c>
      <c r="P30" s="2" t="s">
        <v>39</v>
      </c>
      <c r="Q30" s="2" t="n">
        <v>40</v>
      </c>
    </row>
    <row r="31" customFormat="false" ht="15" hidden="false" customHeight="false" outlineLevel="0" collapsed="false">
      <c r="A31" s="2" t="n">
        <v>158547067</v>
      </c>
      <c r="B31" s="3" t="n">
        <v>44085</v>
      </c>
      <c r="C31" s="2" t="s">
        <v>17</v>
      </c>
      <c r="D31" s="2" t="n">
        <v>158547067200</v>
      </c>
      <c r="E31" s="2" t="s">
        <v>99</v>
      </c>
      <c r="F31" s="2" t="s">
        <v>100</v>
      </c>
      <c r="G31" s="2" t="s">
        <v>20</v>
      </c>
      <c r="H31" s="2" t="s">
        <v>34</v>
      </c>
      <c r="I31" s="2"/>
      <c r="J31" s="2" t="s">
        <v>41</v>
      </c>
      <c r="K31" s="2"/>
      <c r="L31" s="2"/>
      <c r="M31" s="2" t="s">
        <v>48</v>
      </c>
      <c r="N31" s="2" t="n">
        <v>15854706</v>
      </c>
      <c r="O31" s="2" t="s">
        <v>26</v>
      </c>
      <c r="P31" s="2" t="s">
        <v>39</v>
      </c>
      <c r="Q31" s="2" t="n">
        <v>40</v>
      </c>
    </row>
    <row r="32" customFormat="false" ht="15" hidden="false" customHeight="false" outlineLevel="0" collapsed="false">
      <c r="A32" s="2" t="n">
        <v>158547067</v>
      </c>
      <c r="B32" s="3" t="n">
        <v>44085</v>
      </c>
      <c r="C32" s="2" t="s">
        <v>17</v>
      </c>
      <c r="D32" s="2" t="n">
        <v>158547067300</v>
      </c>
      <c r="E32" s="2" t="s">
        <v>99</v>
      </c>
      <c r="F32" s="2" t="s">
        <v>100</v>
      </c>
      <c r="G32" s="2" t="s">
        <v>20</v>
      </c>
      <c r="H32" s="2" t="s">
        <v>34</v>
      </c>
      <c r="I32" s="2"/>
      <c r="J32" s="2" t="s">
        <v>97</v>
      </c>
      <c r="K32" s="2"/>
      <c r="L32" s="2"/>
      <c r="M32" s="2" t="s">
        <v>48</v>
      </c>
      <c r="N32" s="2" t="n">
        <v>15854706</v>
      </c>
      <c r="O32" s="2" t="s">
        <v>26</v>
      </c>
      <c r="P32" s="2" t="s">
        <v>39</v>
      </c>
      <c r="Q32" s="2" t="n">
        <v>40</v>
      </c>
    </row>
    <row r="33" customFormat="false" ht="15" hidden="false" customHeight="false" outlineLevel="0" collapsed="false">
      <c r="A33" s="2" t="n">
        <v>166530682</v>
      </c>
      <c r="B33" s="3" t="n">
        <v>43707</v>
      </c>
      <c r="C33" s="2" t="s">
        <v>17</v>
      </c>
      <c r="D33" s="2" t="n">
        <v>1665306825</v>
      </c>
      <c r="E33" s="2" t="s">
        <v>28</v>
      </c>
      <c r="F33" s="2"/>
      <c r="G33" s="2" t="s">
        <v>20</v>
      </c>
      <c r="H33" s="2" t="s">
        <v>34</v>
      </c>
      <c r="I33" s="2" t="s">
        <v>35</v>
      </c>
      <c r="J33" s="2"/>
      <c r="K33" s="2"/>
      <c r="L33" s="2"/>
      <c r="M33" s="2" t="s">
        <v>52</v>
      </c>
      <c r="N33" s="2" t="n">
        <v>16653068</v>
      </c>
      <c r="O33" s="2" t="s">
        <v>26</v>
      </c>
      <c r="P33" s="2" t="s">
        <v>39</v>
      </c>
      <c r="Q33" s="2" t="n">
        <v>40</v>
      </c>
    </row>
    <row r="34" customFormat="false" ht="15" hidden="false" customHeight="false" outlineLevel="0" collapsed="false">
      <c r="A34" s="2" t="n">
        <v>166530682</v>
      </c>
      <c r="B34" s="3" t="n">
        <v>43707</v>
      </c>
      <c r="C34" s="2" t="s">
        <v>17</v>
      </c>
      <c r="D34" s="2" t="n">
        <v>1665306826</v>
      </c>
      <c r="E34" s="2" t="s">
        <v>28</v>
      </c>
      <c r="F34" s="2"/>
      <c r="G34" s="2" t="s">
        <v>20</v>
      </c>
      <c r="H34" s="2" t="s">
        <v>34</v>
      </c>
      <c r="I34" s="2" t="s">
        <v>35</v>
      </c>
      <c r="J34" s="2"/>
      <c r="K34" s="2"/>
      <c r="L34" s="2"/>
      <c r="M34" s="2" t="s">
        <v>52</v>
      </c>
      <c r="N34" s="2" t="n">
        <v>16653068</v>
      </c>
      <c r="O34" s="2" t="s">
        <v>26</v>
      </c>
      <c r="P34" s="2" t="s">
        <v>39</v>
      </c>
      <c r="Q34" s="2" t="n">
        <v>40</v>
      </c>
    </row>
    <row r="35" customFormat="false" ht="15" hidden="false" customHeight="false" outlineLevel="0" collapsed="false">
      <c r="A35" s="2" t="n">
        <v>166530682</v>
      </c>
      <c r="B35" s="3" t="n">
        <v>43707</v>
      </c>
      <c r="C35" s="2" t="s">
        <v>17</v>
      </c>
      <c r="D35" s="2" t="n">
        <v>1665306827</v>
      </c>
      <c r="E35" s="2" t="s">
        <v>28</v>
      </c>
      <c r="F35" s="2"/>
      <c r="G35" s="2" t="s">
        <v>20</v>
      </c>
      <c r="H35" s="2" t="s">
        <v>34</v>
      </c>
      <c r="I35" s="2" t="s">
        <v>35</v>
      </c>
      <c r="J35" s="2"/>
      <c r="K35" s="2"/>
      <c r="L35" s="2" t="s">
        <v>36</v>
      </c>
      <c r="M35" s="2" t="s">
        <v>52</v>
      </c>
      <c r="N35" s="2" t="n">
        <v>16653068</v>
      </c>
      <c r="O35" s="2" t="s">
        <v>26</v>
      </c>
      <c r="P35" s="2" t="s">
        <v>39</v>
      </c>
      <c r="Q35" s="2" t="n">
        <v>40</v>
      </c>
    </row>
    <row r="36" customFormat="false" ht="15" hidden="false" customHeight="false" outlineLevel="0" collapsed="false">
      <c r="A36" s="2" t="n">
        <v>166530682</v>
      </c>
      <c r="B36" s="3" t="n">
        <v>43707</v>
      </c>
      <c r="C36" s="2" t="s">
        <v>17</v>
      </c>
      <c r="D36" s="2" t="n">
        <v>1665306828</v>
      </c>
      <c r="E36" s="2" t="s">
        <v>28</v>
      </c>
      <c r="F36" s="2"/>
      <c r="G36" s="2" t="s">
        <v>20</v>
      </c>
      <c r="H36" s="2" t="s">
        <v>34</v>
      </c>
      <c r="I36" s="2" t="s">
        <v>35</v>
      </c>
      <c r="J36" s="2"/>
      <c r="K36" s="2"/>
      <c r="L36" s="2"/>
      <c r="M36" s="2" t="s">
        <v>52</v>
      </c>
      <c r="N36" s="2" t="n">
        <v>16653068</v>
      </c>
      <c r="O36" s="2" t="s">
        <v>26</v>
      </c>
      <c r="P36" s="2" t="s">
        <v>39</v>
      </c>
      <c r="Q36" s="2" t="n">
        <v>40</v>
      </c>
    </row>
    <row r="37" customFormat="false" ht="15" hidden="false" customHeight="false" outlineLevel="0" collapsed="false">
      <c r="A37" s="2" t="n">
        <v>207683961</v>
      </c>
      <c r="B37" s="3" t="n">
        <v>44680</v>
      </c>
      <c r="C37" s="2" t="s">
        <v>49</v>
      </c>
      <c r="D37" s="2" t="n">
        <v>207683961100</v>
      </c>
      <c r="E37" s="2" t="s">
        <v>18</v>
      </c>
      <c r="F37" s="2" t="s">
        <v>19</v>
      </c>
      <c r="G37" s="2" t="s">
        <v>20</v>
      </c>
      <c r="H37" s="2" t="s">
        <v>21</v>
      </c>
      <c r="I37" s="2" t="s">
        <v>22</v>
      </c>
      <c r="J37" s="2"/>
      <c r="K37" s="2"/>
      <c r="L37" s="2" t="s">
        <v>36</v>
      </c>
      <c r="M37" s="2" t="s">
        <v>101</v>
      </c>
      <c r="N37" s="2" t="n">
        <v>20768396</v>
      </c>
      <c r="O37" s="2" t="s">
        <v>38</v>
      </c>
      <c r="P37" s="2" t="s">
        <v>27</v>
      </c>
      <c r="Q37" s="2" t="n">
        <v>55</v>
      </c>
    </row>
    <row r="38" customFormat="false" ht="15" hidden="false" customHeight="false" outlineLevel="0" collapsed="false">
      <c r="A38" s="2" t="n">
        <v>245933322</v>
      </c>
      <c r="B38" s="3" t="n">
        <v>45609</v>
      </c>
      <c r="C38" s="2" t="s">
        <v>17</v>
      </c>
      <c r="D38" s="2" t="n">
        <v>245933322200</v>
      </c>
      <c r="E38" s="2" t="s">
        <v>18</v>
      </c>
      <c r="F38" s="2" t="s">
        <v>19</v>
      </c>
      <c r="G38" s="2" t="s">
        <v>20</v>
      </c>
      <c r="H38" s="2" t="s">
        <v>34</v>
      </c>
      <c r="I38" s="2" t="s">
        <v>22</v>
      </c>
      <c r="J38" s="2" t="s">
        <v>102</v>
      </c>
      <c r="K38" s="2"/>
      <c r="L38" s="2"/>
      <c r="M38" s="2" t="s">
        <v>67</v>
      </c>
      <c r="N38" s="2" t="n">
        <v>24593332</v>
      </c>
      <c r="O38" s="2" t="s">
        <v>38</v>
      </c>
      <c r="P38" s="2" t="s">
        <v>39</v>
      </c>
      <c r="Q38" s="2" t="n">
        <v>43</v>
      </c>
    </row>
    <row r="39" customFormat="false" ht="15" hidden="false" customHeight="false" outlineLevel="0" collapsed="false">
      <c r="A39" s="2" t="n">
        <v>245933322</v>
      </c>
      <c r="B39" s="3" t="n">
        <v>45609</v>
      </c>
      <c r="C39" s="2" t="s">
        <v>17</v>
      </c>
      <c r="D39" s="2" t="n">
        <v>245933322300</v>
      </c>
      <c r="E39" s="2" t="s">
        <v>18</v>
      </c>
      <c r="F39" s="2" t="s">
        <v>19</v>
      </c>
      <c r="G39" s="2" t="s">
        <v>20</v>
      </c>
      <c r="H39" s="2" t="s">
        <v>34</v>
      </c>
      <c r="I39" s="2" t="s">
        <v>22</v>
      </c>
      <c r="J39" s="2" t="s">
        <v>103</v>
      </c>
      <c r="K39" s="2"/>
      <c r="L39" s="2"/>
      <c r="M39" s="2" t="s">
        <v>67</v>
      </c>
      <c r="N39" s="2" t="n">
        <v>24593332</v>
      </c>
      <c r="O39" s="2" t="s">
        <v>38</v>
      </c>
      <c r="P39" s="2" t="s">
        <v>39</v>
      </c>
      <c r="Q39" s="2" t="n">
        <v>43</v>
      </c>
    </row>
    <row r="40" customFormat="false" ht="15" hidden="false" customHeight="false" outlineLevel="0" collapsed="false">
      <c r="A40" s="2" t="n">
        <v>250652832</v>
      </c>
      <c r="B40" s="3" t="n">
        <v>45733</v>
      </c>
      <c r="C40" s="2" t="s">
        <v>17</v>
      </c>
      <c r="D40" s="2" t="n">
        <v>250652832200</v>
      </c>
      <c r="E40" s="2" t="s">
        <v>18</v>
      </c>
      <c r="F40" s="2" t="s">
        <v>19</v>
      </c>
      <c r="G40" s="2" t="s">
        <v>20</v>
      </c>
      <c r="H40" s="2" t="s">
        <v>34</v>
      </c>
      <c r="I40" s="2" t="s">
        <v>22</v>
      </c>
      <c r="J40" s="2" t="s">
        <v>104</v>
      </c>
      <c r="K40" s="2"/>
      <c r="L40" s="2" t="s">
        <v>36</v>
      </c>
      <c r="M40" s="2" t="s">
        <v>69</v>
      </c>
      <c r="N40" s="2" t="n">
        <v>25065283</v>
      </c>
      <c r="O40" s="2" t="s">
        <v>38</v>
      </c>
      <c r="P40" s="2" t="s">
        <v>27</v>
      </c>
      <c r="Q40" s="2" t="n">
        <v>67</v>
      </c>
    </row>
    <row r="41" customFormat="false" ht="15" hidden="false" customHeight="false" outlineLevel="0" collapsed="false">
      <c r="A41" s="2" t="n">
        <v>252549852</v>
      </c>
      <c r="B41" s="3" t="n">
        <v>45798</v>
      </c>
      <c r="C41" s="2" t="s">
        <v>72</v>
      </c>
      <c r="D41" s="2" t="n">
        <v>252549852200</v>
      </c>
      <c r="E41" s="2" t="s">
        <v>18</v>
      </c>
      <c r="F41" s="2" t="s">
        <v>19</v>
      </c>
      <c r="G41" s="2" t="s">
        <v>20</v>
      </c>
      <c r="H41" s="2" t="s">
        <v>34</v>
      </c>
      <c r="I41" s="2" t="s">
        <v>22</v>
      </c>
      <c r="J41" s="2" t="s">
        <v>105</v>
      </c>
      <c r="K41" s="2"/>
      <c r="L41" s="2" t="s">
        <v>24</v>
      </c>
      <c r="M41" s="2" t="s">
        <v>74</v>
      </c>
      <c r="N41" s="2" t="n">
        <v>25254985</v>
      </c>
      <c r="O41" s="2" t="s">
        <v>26</v>
      </c>
      <c r="P41" s="2" t="s">
        <v>27</v>
      </c>
      <c r="Q41" s="2" t="n">
        <v>56</v>
      </c>
    </row>
    <row r="42" customFormat="false" ht="15" hidden="false" customHeight="false" outlineLevel="0" collapsed="false">
      <c r="A42" s="2" t="n">
        <v>257425034</v>
      </c>
      <c r="B42" s="3" t="n">
        <v>45911</v>
      </c>
      <c r="C42" s="2" t="s">
        <v>17</v>
      </c>
      <c r="D42" s="2" t="n">
        <v>257425034200</v>
      </c>
      <c r="E42" s="2" t="s">
        <v>18</v>
      </c>
      <c r="F42" s="2" t="s">
        <v>19</v>
      </c>
      <c r="G42" s="2" t="s">
        <v>20</v>
      </c>
      <c r="H42" s="2" t="s">
        <v>34</v>
      </c>
      <c r="I42" s="2" t="s">
        <v>22</v>
      </c>
      <c r="J42" s="2"/>
      <c r="K42" s="2"/>
      <c r="L42" s="2" t="s">
        <v>24</v>
      </c>
      <c r="M42" s="2" t="s">
        <v>78</v>
      </c>
      <c r="N42" s="2" t="n">
        <v>25742503</v>
      </c>
      <c r="O42" s="2" t="s">
        <v>38</v>
      </c>
      <c r="P42" s="2" t="s">
        <v>27</v>
      </c>
      <c r="Q42" s="2" t="n">
        <v>22</v>
      </c>
    </row>
    <row r="43" customFormat="false" ht="15" hidden="false" customHeight="false" outlineLevel="0" collapsed="false">
      <c r="A43" s="2" t="n">
        <v>257425034</v>
      </c>
      <c r="B43" s="3" t="n">
        <v>45911</v>
      </c>
      <c r="C43" s="2" t="s">
        <v>17</v>
      </c>
      <c r="D43" s="2" t="n">
        <v>257425034300</v>
      </c>
      <c r="E43" s="2" t="s">
        <v>18</v>
      </c>
      <c r="F43" s="2" t="s">
        <v>19</v>
      </c>
      <c r="G43" s="2" t="s">
        <v>20</v>
      </c>
      <c r="H43" s="2" t="s">
        <v>34</v>
      </c>
      <c r="I43" s="2" t="s">
        <v>22</v>
      </c>
      <c r="J43" s="2" t="s">
        <v>106</v>
      </c>
      <c r="K43" s="2"/>
      <c r="L43" s="2" t="s">
        <v>24</v>
      </c>
      <c r="M43" s="2" t="s">
        <v>78</v>
      </c>
      <c r="N43" s="2" t="n">
        <v>25742503</v>
      </c>
      <c r="O43" s="2" t="s">
        <v>38</v>
      </c>
      <c r="P43" s="2" t="s">
        <v>27</v>
      </c>
      <c r="Q43" s="2" t="n">
        <v>22</v>
      </c>
    </row>
  </sheetData>
  <autoFilter ref="A1:Q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30" hidden="false" customHeight="true" outlineLevel="0" collapsed="false">
      <c r="A1" s="1" t="s">
        <v>107</v>
      </c>
      <c r="B1" s="1"/>
    </row>
    <row r="2" customFormat="false" ht="23.85" hidden="false" customHeight="false" outlineLevel="0" collapsed="false">
      <c r="A2" s="7" t="s">
        <v>108</v>
      </c>
      <c r="B2" s="8" t="s">
        <v>109</v>
      </c>
    </row>
    <row r="3" customFormat="false" ht="15" hidden="false" customHeight="false" outlineLevel="0" collapsed="false">
      <c r="A3" s="7" t="s">
        <v>110</v>
      </c>
      <c r="B3" s="8" t="s">
        <v>111</v>
      </c>
    </row>
    <row r="4" customFormat="false" ht="23.85" hidden="false" customHeight="false" outlineLevel="0" collapsed="false">
      <c r="A4" s="7" t="s">
        <v>112</v>
      </c>
      <c r="B4" s="8" t="s">
        <v>113</v>
      </c>
    </row>
    <row r="5" customFormat="false" ht="15" hidden="false" customHeight="false" outlineLevel="0" collapsed="false">
      <c r="A5" s="7"/>
      <c r="B5" s="8"/>
    </row>
    <row r="6" customFormat="false" ht="15" hidden="false" customHeight="false" outlineLevel="0" collapsed="false">
      <c r="A6" s="7" t="s">
        <v>114</v>
      </c>
      <c r="B6" s="8" t="s">
        <v>115</v>
      </c>
    </row>
    <row r="7" customFormat="false" ht="15" hidden="false" customHeight="false" outlineLevel="0" collapsed="false">
      <c r="A7" s="7"/>
      <c r="B7" s="8"/>
    </row>
    <row r="8" customFormat="false" ht="46.25" hidden="false" customHeight="false" outlineLevel="0" collapsed="false">
      <c r="A8" s="7" t="s">
        <v>116</v>
      </c>
      <c r="B8" s="8" t="s">
        <v>117</v>
      </c>
    </row>
    <row r="9" customFormat="false" ht="35.05" hidden="false" customHeight="false" outlineLevel="0" collapsed="false">
      <c r="A9" s="7" t="s">
        <v>118</v>
      </c>
      <c r="B9" s="8" t="s">
        <v>119</v>
      </c>
    </row>
    <row r="10" customFormat="false" ht="23.85" hidden="false" customHeight="false" outlineLevel="0" collapsed="false">
      <c r="A10" s="7" t="s">
        <v>120</v>
      </c>
      <c r="B10" s="8" t="s">
        <v>121</v>
      </c>
    </row>
    <row r="11" customFormat="false" ht="23.85" hidden="false" customHeight="false" outlineLevel="0" collapsed="false">
      <c r="A11" s="7" t="s">
        <v>122</v>
      </c>
      <c r="B11" s="8" t="s">
        <v>123</v>
      </c>
    </row>
    <row r="12" customFormat="false" ht="23.85" hidden="false" customHeight="false" outlineLevel="0" collapsed="false">
      <c r="A12" s="7" t="s">
        <v>124</v>
      </c>
      <c r="B12" s="8" t="s">
        <v>125</v>
      </c>
    </row>
    <row r="13" customFormat="false" ht="15" hidden="false" customHeight="false" outlineLevel="0" collapsed="false">
      <c r="A13" s="7"/>
      <c r="B13" s="8"/>
    </row>
    <row r="14" customFormat="false" ht="23.85" hidden="false" customHeight="false" outlineLevel="0" collapsed="false">
      <c r="A14" s="7" t="s">
        <v>126</v>
      </c>
      <c r="B14" s="8" t="s">
        <v>127</v>
      </c>
    </row>
    <row r="15" customFormat="false" ht="15" hidden="false" customHeight="false" outlineLevel="0" collapsed="false">
      <c r="A15" s="7"/>
      <c r="B15" s="8"/>
    </row>
    <row r="16" customFormat="false" ht="35.05" hidden="false" customHeight="false" outlineLevel="0" collapsed="false">
      <c r="A16" s="7" t="s">
        <v>128</v>
      </c>
      <c r="B16" s="8" t="s">
        <v>129</v>
      </c>
    </row>
    <row r="17" customFormat="false" ht="23.85" hidden="false" customHeight="false" outlineLevel="0" collapsed="false">
      <c r="A17" s="7" t="s">
        <v>130</v>
      </c>
      <c r="B17" s="8"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2026-08-30T22:15:11Z</dcterms:created>
  <dc:creator>openpyxl</dc:creator>
  <dc:description/>
  <dc:language>en-US</dc:language>
  <cp:lastModifiedBy/>
  <dcterms:modified xsi:type="dcterms:W3CDTF">2026-08-30T22:15:11Z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